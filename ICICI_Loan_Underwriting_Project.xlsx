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Policy" sheetId="3" state="visible" r:id="rId5"/>
    <sheet name="Summary" sheetId="4" state="visible" r:id="rId6"/>
    <sheet name="EMI_Calculator" sheetId="5" state="visible" r:id="rId7"/>
  </sheets>
  <definedNames>
    <definedName function="false" hidden="true" localSheetId="1" name="_xlnm._FilterDatabase" vbProcedure="false">Data!$A$1:$P$121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<sst xmlns="http://schemas.openxmlformats.org/spreadsheetml/2006/main" count="603" uniqueCount="342">
  <si>
    <t xml:space="preserve">ICICI Bank - Retail Loan Underwriting Dashboard</t>
  </si>
  <si>
    <t xml:space="preserve">Sample project: 120 synthetic loan applications screened against a simple policy (income, FOIR, credit score, age). Not real bank data.</t>
  </si>
  <si>
    <t xml:space="preserve">Applications</t>
  </si>
  <si>
    <t xml:space="preserve">Requested (₹ cr)</t>
  </si>
  <si>
    <t xml:space="preserve">Approval rate</t>
  </si>
  <si>
    <t xml:space="preserve">Avg interest rate</t>
  </si>
  <si>
    <t xml:space="preserve">Avg FOIR</t>
  </si>
  <si>
    <t xml:space="preserve">Approved (₹ cr)</t>
  </si>
  <si>
    <t xml:space="preserve">Quick read (auto-updates):</t>
  </si>
  <si>
    <t xml:space="preserve">- Change any yellow / blue cell on the Policy sheet (e.g. max FOIR) and every table and chart refreshes.</t>
  </si>
  <si>
    <t xml:space="preserve">App ID</t>
  </si>
  <si>
    <t xml:space="preserve">Customer Name</t>
  </si>
  <si>
    <t xml:space="preserve">City</t>
  </si>
  <si>
    <t xml:space="preserve">Product</t>
  </si>
  <si>
    <t xml:space="preserve">Age</t>
  </si>
  <si>
    <t xml:space="preserve">Monthly Income (₹)</t>
  </si>
  <si>
    <t xml:space="preserve">Credit Score</t>
  </si>
  <si>
    <t xml:space="preserve">Loan Amount (₹)</t>
  </si>
  <si>
    <t xml:space="preserve">Tenure (yrs)</t>
  </si>
  <si>
    <t xml:space="preserve">Existing EMI (₹)</t>
  </si>
  <si>
    <t xml:space="preserve">Score Band</t>
  </si>
  <si>
    <t xml:space="preserve">Interest Rate</t>
  </si>
  <si>
    <t xml:space="preserve">New EMI (₹)</t>
  </si>
  <si>
    <t xml:space="preserve">FOIR</t>
  </si>
  <si>
    <t xml:space="preserve">Max Eligible Amt (₹)</t>
  </si>
  <si>
    <t xml:space="preserve">Decision</t>
  </si>
  <si>
    <t xml:space="preserve">Note: columns A-J are sample applicant data (synthetic, randomly generated). Columns K-P are formulas driven by the Policy sheet.</t>
  </si>
  <si>
    <t xml:space="preserve">APP1001</t>
  </si>
  <si>
    <t xml:space="preserve">Manish Mehta</t>
  </si>
  <si>
    <t xml:space="preserve">Mumbai</t>
  </si>
  <si>
    <t xml:space="preserve">Auto Loan</t>
  </si>
  <si>
    <t xml:space="preserve">APP1002</t>
  </si>
  <si>
    <t xml:space="preserve">Pooja Patel</t>
  </si>
  <si>
    <t xml:space="preserve">Business Loan</t>
  </si>
  <si>
    <t xml:space="preserve">APP1003</t>
  </si>
  <si>
    <t xml:space="preserve">Swati Mehta</t>
  </si>
  <si>
    <t xml:space="preserve">Bengaluru</t>
  </si>
  <si>
    <t xml:space="preserve">Home Loan</t>
  </si>
  <si>
    <t xml:space="preserve">APP1004</t>
  </si>
  <si>
    <t xml:space="preserve">Neha Gupta</t>
  </si>
  <si>
    <t xml:space="preserve">Jaipur</t>
  </si>
  <si>
    <t xml:space="preserve">Personal Loan</t>
  </si>
  <si>
    <t xml:space="preserve">APP1005</t>
  </si>
  <si>
    <t xml:space="preserve">Nikhil Singh</t>
  </si>
  <si>
    <t xml:space="preserve">Pune</t>
  </si>
  <si>
    <t xml:space="preserve">APP1006</t>
  </si>
  <si>
    <t xml:space="preserve">Karan Khan</t>
  </si>
  <si>
    <t xml:space="preserve">APP1007</t>
  </si>
  <si>
    <t xml:space="preserve">Nikhil Rao</t>
  </si>
  <si>
    <t xml:space="preserve">APP1008</t>
  </si>
  <si>
    <t xml:space="preserve">Pranav Das</t>
  </si>
  <si>
    <t xml:space="preserve">Delhi</t>
  </si>
  <si>
    <t xml:space="preserve">APP1009</t>
  </si>
  <si>
    <t xml:space="preserve">Pranav Tiwari</t>
  </si>
  <si>
    <t xml:space="preserve">Indore</t>
  </si>
  <si>
    <t xml:space="preserve">APP1010</t>
  </si>
  <si>
    <t xml:space="preserve">Amit Mehta</t>
  </si>
  <si>
    <t xml:space="preserve">APP1011</t>
  </si>
  <si>
    <t xml:space="preserve">Arjun Chauhan</t>
  </si>
  <si>
    <t xml:space="preserve">Hyderabad</t>
  </si>
  <si>
    <t xml:space="preserve">APP1012</t>
  </si>
  <si>
    <t xml:space="preserve">Swati Jain</t>
  </si>
  <si>
    <t xml:space="preserve">APP1013</t>
  </si>
  <si>
    <t xml:space="preserve">Manish Rao</t>
  </si>
  <si>
    <t xml:space="preserve">APP1014</t>
  </si>
  <si>
    <t xml:space="preserve">Rohan Patel</t>
  </si>
  <si>
    <t xml:space="preserve">Education Loan</t>
  </si>
  <si>
    <t xml:space="preserve">APP1015</t>
  </si>
  <si>
    <t xml:space="preserve">Rahul Mishra</t>
  </si>
  <si>
    <t xml:space="preserve">APP1016</t>
  </si>
  <si>
    <t xml:space="preserve">Divya Mishra</t>
  </si>
  <si>
    <t xml:space="preserve">Bhopal</t>
  </si>
  <si>
    <t xml:space="preserve">APP1017</t>
  </si>
  <si>
    <t xml:space="preserve">Shruti Reddy</t>
  </si>
  <si>
    <t xml:space="preserve">APP1018</t>
  </si>
  <si>
    <t xml:space="preserve">Shruti Das</t>
  </si>
  <si>
    <t xml:space="preserve">APP1019</t>
  </si>
  <si>
    <t xml:space="preserve">Kavya Das</t>
  </si>
  <si>
    <t xml:space="preserve">APP1020</t>
  </si>
  <si>
    <t xml:space="preserve">Shruti Gupta</t>
  </si>
  <si>
    <t xml:space="preserve">Chennai</t>
  </si>
  <si>
    <t xml:space="preserve">APP1021</t>
  </si>
  <si>
    <t xml:space="preserve">Sneha Tiwari</t>
  </si>
  <si>
    <t xml:space="preserve">APP1022</t>
  </si>
  <si>
    <t xml:space="preserve">Swati Iyer</t>
  </si>
  <si>
    <t xml:space="preserve">APP1023</t>
  </si>
  <si>
    <t xml:space="preserve">Vivaan Das</t>
  </si>
  <si>
    <t xml:space="preserve">APP1024</t>
  </si>
  <si>
    <t xml:space="preserve">Divya Joshi</t>
  </si>
  <si>
    <t xml:space="preserve">APP1025</t>
  </si>
  <si>
    <t xml:space="preserve">Riya Mishra</t>
  </si>
  <si>
    <t xml:space="preserve">APP1026</t>
  </si>
  <si>
    <t xml:space="preserve">Anjali Gupta</t>
  </si>
  <si>
    <t xml:space="preserve">APP1027</t>
  </si>
  <si>
    <t xml:space="preserve">Priya Mishra</t>
  </si>
  <si>
    <t xml:space="preserve">APP1028</t>
  </si>
  <si>
    <t xml:space="preserve">Rohan Banerjee</t>
  </si>
  <si>
    <t xml:space="preserve">APP1029</t>
  </si>
  <si>
    <t xml:space="preserve">Arjun Das</t>
  </si>
  <si>
    <t xml:space="preserve">APP1030</t>
  </si>
  <si>
    <t xml:space="preserve">Manish Gupta</t>
  </si>
  <si>
    <t xml:space="preserve">APP1031</t>
  </si>
  <si>
    <t xml:space="preserve">Komal Reddy</t>
  </si>
  <si>
    <t xml:space="preserve">APP1032</t>
  </si>
  <si>
    <t xml:space="preserve">Neha Mishra</t>
  </si>
  <si>
    <t xml:space="preserve">APP1033</t>
  </si>
  <si>
    <t xml:space="preserve">Aarav Gupta</t>
  </si>
  <si>
    <t xml:space="preserve">APP1034</t>
  </si>
  <si>
    <t xml:space="preserve">Vikram Verma</t>
  </si>
  <si>
    <t xml:space="preserve">APP1035</t>
  </si>
  <si>
    <t xml:space="preserve">Aarav Sharma</t>
  </si>
  <si>
    <t xml:space="preserve">APP1036</t>
  </si>
  <si>
    <t xml:space="preserve">Anjali Banerjee</t>
  </si>
  <si>
    <t xml:space="preserve">APP1037</t>
  </si>
  <si>
    <t xml:space="preserve">Nikhil Verma</t>
  </si>
  <si>
    <t xml:space="preserve">Kolkata</t>
  </si>
  <si>
    <t xml:space="preserve">APP1038</t>
  </si>
  <si>
    <t xml:space="preserve">Vivaan Yadav</t>
  </si>
  <si>
    <t xml:space="preserve">APP1039</t>
  </si>
  <si>
    <t xml:space="preserve">Aarav Khan</t>
  </si>
  <si>
    <t xml:space="preserve">APP1040</t>
  </si>
  <si>
    <t xml:space="preserve">Aarav Singh</t>
  </si>
  <si>
    <t xml:space="preserve">APP1041</t>
  </si>
  <si>
    <t xml:space="preserve">Manish Tiwari</t>
  </si>
  <si>
    <t xml:space="preserve">APP1042</t>
  </si>
  <si>
    <t xml:space="preserve">Arjun Mishra</t>
  </si>
  <si>
    <t xml:space="preserve">APP1043</t>
  </si>
  <si>
    <t xml:space="preserve">Vivaan Mehta</t>
  </si>
  <si>
    <t xml:space="preserve">APP1044</t>
  </si>
  <si>
    <t xml:space="preserve">Aditya Mishra</t>
  </si>
  <si>
    <t xml:space="preserve">APP1045</t>
  </si>
  <si>
    <t xml:space="preserve">Rahul Reddy</t>
  </si>
  <si>
    <t xml:space="preserve">APP1046</t>
  </si>
  <si>
    <t xml:space="preserve">Arjun Khan</t>
  </si>
  <si>
    <t xml:space="preserve">APP1047</t>
  </si>
  <si>
    <t xml:space="preserve">Rahul Tiwari</t>
  </si>
  <si>
    <t xml:space="preserve">APP1048</t>
  </si>
  <si>
    <t xml:space="preserve">Harsh Nair</t>
  </si>
  <si>
    <t xml:space="preserve">APP1049</t>
  </si>
  <si>
    <t xml:space="preserve">Rohan Das</t>
  </si>
  <si>
    <t xml:space="preserve">APP1050</t>
  </si>
  <si>
    <t xml:space="preserve">Manish Patel</t>
  </si>
  <si>
    <t xml:space="preserve">APP1051</t>
  </si>
  <si>
    <t xml:space="preserve">Aditya Banerjee</t>
  </si>
  <si>
    <t xml:space="preserve">APP1052</t>
  </si>
  <si>
    <t xml:space="preserve">Divya Das</t>
  </si>
  <si>
    <t xml:space="preserve">APP1053</t>
  </si>
  <si>
    <t xml:space="preserve">Vivaan Chauhan</t>
  </si>
  <si>
    <t xml:space="preserve">APP1054</t>
  </si>
  <si>
    <t xml:space="preserve">Shruti Nair</t>
  </si>
  <si>
    <t xml:space="preserve">APP1055</t>
  </si>
  <si>
    <t xml:space="preserve">Meera Tiwari</t>
  </si>
  <si>
    <t xml:space="preserve">APP1056</t>
  </si>
  <si>
    <t xml:space="preserve">Nikhil Nair</t>
  </si>
  <si>
    <t xml:space="preserve">APP1057</t>
  </si>
  <si>
    <t xml:space="preserve">Pooja Das</t>
  </si>
  <si>
    <t xml:space="preserve">APP1058</t>
  </si>
  <si>
    <t xml:space="preserve">Swati Sharma</t>
  </si>
  <si>
    <t xml:space="preserve">APP1059</t>
  </si>
  <si>
    <t xml:space="preserve">Komal Mishra</t>
  </si>
  <si>
    <t xml:space="preserve">APP1060</t>
  </si>
  <si>
    <t xml:space="preserve">Divya Verma</t>
  </si>
  <si>
    <t xml:space="preserve">APP1061</t>
  </si>
  <si>
    <t xml:space="preserve">Kavya Chauhan</t>
  </si>
  <si>
    <t xml:space="preserve">APP1062</t>
  </si>
  <si>
    <t xml:space="preserve">Kavya Reddy</t>
  </si>
  <si>
    <t xml:space="preserve">APP1063</t>
  </si>
  <si>
    <t xml:space="preserve">Priya Chauhan</t>
  </si>
  <si>
    <t xml:space="preserve">APP1064</t>
  </si>
  <si>
    <t xml:space="preserve">Shruti Mishra</t>
  </si>
  <si>
    <t xml:space="preserve">APP1065</t>
  </si>
  <si>
    <t xml:space="preserve">Sneha Joshi</t>
  </si>
  <si>
    <t xml:space="preserve">APP1066</t>
  </si>
  <si>
    <t xml:space="preserve">Isha Verma</t>
  </si>
  <si>
    <t xml:space="preserve">APP1067</t>
  </si>
  <si>
    <t xml:space="preserve">Kavya Mishra</t>
  </si>
  <si>
    <t xml:space="preserve">APP1068</t>
  </si>
  <si>
    <t xml:space="preserve">Rahul Banerjee</t>
  </si>
  <si>
    <t xml:space="preserve">APP1069</t>
  </si>
  <si>
    <t xml:space="preserve">Anjali Tiwari</t>
  </si>
  <si>
    <t xml:space="preserve">APP1070</t>
  </si>
  <si>
    <t xml:space="preserve">Anjali Rao</t>
  </si>
  <si>
    <t xml:space="preserve">APP1071</t>
  </si>
  <si>
    <t xml:space="preserve">Kavya Gupta</t>
  </si>
  <si>
    <t xml:space="preserve">APP1072</t>
  </si>
  <si>
    <t xml:space="preserve">Karan Sharma</t>
  </si>
  <si>
    <t xml:space="preserve">APP1073</t>
  </si>
  <si>
    <t xml:space="preserve">Meera Rao</t>
  </si>
  <si>
    <t xml:space="preserve">APP1074</t>
  </si>
  <si>
    <t xml:space="preserve">Anjali Patel</t>
  </si>
  <si>
    <t xml:space="preserve">APP1075</t>
  </si>
  <si>
    <t xml:space="preserve">Yash Yadav</t>
  </si>
  <si>
    <t xml:space="preserve">APP1076</t>
  </si>
  <si>
    <t xml:space="preserve">Rahul Yadav</t>
  </si>
  <si>
    <t xml:space="preserve">APP1077</t>
  </si>
  <si>
    <t xml:space="preserve">Amit Mishra</t>
  </si>
  <si>
    <t xml:space="preserve">APP1078</t>
  </si>
  <si>
    <t xml:space="preserve">Vivaan Singh</t>
  </si>
  <si>
    <t xml:space="preserve">APP1079</t>
  </si>
  <si>
    <t xml:space="preserve">Riya Sharma</t>
  </si>
  <si>
    <t xml:space="preserve">APP1080</t>
  </si>
  <si>
    <t xml:space="preserve">Rahul Sharma</t>
  </si>
  <si>
    <t xml:space="preserve">APP1081</t>
  </si>
  <si>
    <t xml:space="preserve">Riya Jain</t>
  </si>
  <si>
    <t xml:space="preserve">APP1082</t>
  </si>
  <si>
    <t xml:space="preserve">Yash Chauhan</t>
  </si>
  <si>
    <t xml:space="preserve">APP1083</t>
  </si>
  <si>
    <t xml:space="preserve">Yash Patel</t>
  </si>
  <si>
    <t xml:space="preserve">APP1084</t>
  </si>
  <si>
    <t xml:space="preserve">Sneha Das</t>
  </si>
  <si>
    <t xml:space="preserve">APP1085</t>
  </si>
  <si>
    <t xml:space="preserve">Meera Iyer</t>
  </si>
  <si>
    <t xml:space="preserve">APP1086</t>
  </si>
  <si>
    <t xml:space="preserve">Swati Reddy</t>
  </si>
  <si>
    <t xml:space="preserve">APP1087</t>
  </si>
  <si>
    <t xml:space="preserve">Karan Banerjee</t>
  </si>
  <si>
    <t xml:space="preserve">APP1088</t>
  </si>
  <si>
    <t xml:space="preserve">Harsh Jain</t>
  </si>
  <si>
    <t xml:space="preserve">APP1089</t>
  </si>
  <si>
    <t xml:space="preserve">Aarav Rao</t>
  </si>
  <si>
    <t xml:space="preserve">APP1090</t>
  </si>
  <si>
    <t xml:space="preserve">Nikhil Chauhan</t>
  </si>
  <si>
    <t xml:space="preserve">APP1091</t>
  </si>
  <si>
    <t xml:space="preserve">Ananya Gupta</t>
  </si>
  <si>
    <t xml:space="preserve">APP1092</t>
  </si>
  <si>
    <t xml:space="preserve">Rahul Mehta</t>
  </si>
  <si>
    <t xml:space="preserve">APP1093</t>
  </si>
  <si>
    <t xml:space="preserve">Sneha Nair</t>
  </si>
  <si>
    <t xml:space="preserve">APP1094</t>
  </si>
  <si>
    <t xml:space="preserve">Ananya Reddy</t>
  </si>
  <si>
    <t xml:space="preserve">APP1095</t>
  </si>
  <si>
    <t xml:space="preserve">Swati Das</t>
  </si>
  <si>
    <t xml:space="preserve">APP1096</t>
  </si>
  <si>
    <t xml:space="preserve">Nikhil Kulkarni</t>
  </si>
  <si>
    <t xml:space="preserve">APP1097</t>
  </si>
  <si>
    <t xml:space="preserve">Vikram Singh</t>
  </si>
  <si>
    <t xml:space="preserve">APP1098</t>
  </si>
  <si>
    <t xml:space="preserve">Anjali Verma</t>
  </si>
  <si>
    <t xml:space="preserve">APP1099</t>
  </si>
  <si>
    <t xml:space="preserve">Amit Chauhan</t>
  </si>
  <si>
    <t xml:space="preserve">APP1100</t>
  </si>
  <si>
    <t xml:space="preserve">Aditya Mehta</t>
  </si>
  <si>
    <t xml:space="preserve">APP1101</t>
  </si>
  <si>
    <t xml:space="preserve">Pooja Yadav</t>
  </si>
  <si>
    <t xml:space="preserve">APP1102</t>
  </si>
  <si>
    <t xml:space="preserve">Rohan Sharma</t>
  </si>
  <si>
    <t xml:space="preserve">APP1103</t>
  </si>
  <si>
    <t xml:space="preserve">Karan Mishra</t>
  </si>
  <si>
    <t xml:space="preserve">APP1104</t>
  </si>
  <si>
    <t xml:space="preserve">Kavya Yadav</t>
  </si>
  <si>
    <t xml:space="preserve">APP1105</t>
  </si>
  <si>
    <t xml:space="preserve">Kavya Jain</t>
  </si>
  <si>
    <t xml:space="preserve">APP1106</t>
  </si>
  <si>
    <t xml:space="preserve">Shruti Khan</t>
  </si>
  <si>
    <t xml:space="preserve">APP1107</t>
  </si>
  <si>
    <t xml:space="preserve">Neha Tiwari</t>
  </si>
  <si>
    <t xml:space="preserve">APP1108</t>
  </si>
  <si>
    <t xml:space="preserve">Pooja Gupta</t>
  </si>
  <si>
    <t xml:space="preserve">APP1109</t>
  </si>
  <si>
    <t xml:space="preserve">Arjun Verma</t>
  </si>
  <si>
    <t xml:space="preserve">APP1110</t>
  </si>
  <si>
    <t xml:space="preserve">Divya Banerjee</t>
  </si>
  <si>
    <t xml:space="preserve">APP1111</t>
  </si>
  <si>
    <t xml:space="preserve">Divya Singh</t>
  </si>
  <si>
    <t xml:space="preserve">APP1112</t>
  </si>
  <si>
    <t xml:space="preserve">Divya Rao</t>
  </si>
  <si>
    <t xml:space="preserve">APP1113</t>
  </si>
  <si>
    <t xml:space="preserve">Neha Kulkarni</t>
  </si>
  <si>
    <t xml:space="preserve">APP1114</t>
  </si>
  <si>
    <t xml:space="preserve">Priya Joshi</t>
  </si>
  <si>
    <t xml:space="preserve">APP1115</t>
  </si>
  <si>
    <t xml:space="preserve">Rohan Gupta</t>
  </si>
  <si>
    <t xml:space="preserve">APP1116</t>
  </si>
  <si>
    <t xml:space="preserve">Sandeep Nair</t>
  </si>
  <si>
    <t xml:space="preserve">APP1117</t>
  </si>
  <si>
    <t xml:space="preserve">Kavya Verma</t>
  </si>
  <si>
    <t xml:space="preserve">APP1118</t>
  </si>
  <si>
    <t xml:space="preserve">Harsh Reddy</t>
  </si>
  <si>
    <t xml:space="preserve">APP1119</t>
  </si>
  <si>
    <t xml:space="preserve">Sneha Mishra</t>
  </si>
  <si>
    <t xml:space="preserve">APP1120</t>
  </si>
  <si>
    <t xml:space="preserve">Harsh Verma</t>
  </si>
  <si>
    <t xml:space="preserve">Lending Policy (assumptions)</t>
  </si>
  <si>
    <t xml:space="preserve">Illustrative policy used for this project - NOT ICICI Bank's actual rate card or credit policy. Change the blue cells and everything updates.</t>
  </si>
  <si>
    <t xml:space="preserve">Base Rate (p.a.)</t>
  </si>
  <si>
    <t xml:space="preserve">Max Tenure (yrs)</t>
  </si>
  <si>
    <t xml:space="preserve">Max FOIR</t>
  </si>
  <si>
    <t xml:space="preserve">Min Credit Score</t>
  </si>
  <si>
    <t xml:space="preserve">Min Score</t>
  </si>
  <si>
    <t xml:space="preserve">Rate Premium</t>
  </si>
  <si>
    <t xml:space="preserve">Poor</t>
  </si>
  <si>
    <t xml:space="preserve">Fair</t>
  </si>
  <si>
    <t xml:space="preserve">Good</t>
  </si>
  <si>
    <t xml:space="preserve">Very Good</t>
  </si>
  <si>
    <t xml:space="preserve">Excellent</t>
  </si>
  <si>
    <t xml:space="preserve">Max age at loan maturity</t>
  </si>
  <si>
    <t xml:space="preserve">Refer-to-manager buffer over max FOIR</t>
  </si>
  <si>
    <t xml:space="preserve">FOIR = (new EMI + existing EMIs) / monthly income. Final rate = base rate of product + premium for the applicant's score band.</t>
  </si>
  <si>
    <t xml:space="preserve">Summary Tables</t>
  </si>
  <si>
    <t xml:space="preserve">Everything here is COUNTIFS / SUMIFS / AVERAGEIFS on the Data sheet, so it refreshes when Data or Policy changes. Amounts in ₹ crore.</t>
  </si>
  <si>
    <t xml:space="preserve">1. Product-wise</t>
  </si>
  <si>
    <t xml:space="preserve">Approved</t>
  </si>
  <si>
    <t xml:space="preserve">Referred</t>
  </si>
  <si>
    <t xml:space="preserve">Rejected</t>
  </si>
  <si>
    <t xml:space="preserve">Approval %</t>
  </si>
  <si>
    <t xml:space="preserve">Avg Rate</t>
  </si>
  <si>
    <t xml:space="preserve">Approved Amt (₹ cr)</t>
  </si>
  <si>
    <t xml:space="preserve">Total</t>
  </si>
  <si>
    <t xml:space="preserve">2. Decision breakdown</t>
  </si>
  <si>
    <t xml:space="preserve">Count</t>
  </si>
  <si>
    <t xml:space="preserve">% of total</t>
  </si>
  <si>
    <t xml:space="preserve">Approve</t>
  </si>
  <si>
    <t xml:space="preserve">Refer to Manager</t>
  </si>
  <si>
    <t xml:space="preserve">Reject - Low Score</t>
  </si>
  <si>
    <t xml:space="preserve">Reject - Age</t>
  </si>
  <si>
    <t xml:space="preserve">Reject - Tenure</t>
  </si>
  <si>
    <t xml:space="preserve">Reject - High FOIR</t>
  </si>
  <si>
    <t xml:space="preserve">3. Credit score band (risk-based pricing check)</t>
  </si>
  <si>
    <t xml:space="preserve">4. City-wise</t>
  </si>
  <si>
    <t xml:space="preserve">EMI Calculator + Amortisation Schedule</t>
  </si>
  <si>
    <t xml:space="preserve">Pick a product and fill the yellow cells. Rate comes from the Policy sheet (base rate + score-band premium).</t>
  </si>
  <si>
    <t xml:space="preserve">Interest rate (p.a.)</t>
  </si>
  <si>
    <t xml:space="preserve">Loan amount (₹)</t>
  </si>
  <si>
    <t xml:space="preserve">Monthly EMI (₹)</t>
  </si>
  <si>
    <t xml:space="preserve">Tenure (years)</t>
  </si>
  <si>
    <t xml:space="preserve">Total interest (₹)</t>
  </si>
  <si>
    <t xml:space="preserve">Credit score</t>
  </si>
  <si>
    <t xml:space="preserve">Total payment (₹)</t>
  </si>
  <si>
    <t xml:space="preserve">Interest as % of loan</t>
  </si>
  <si>
    <t xml:space="preserve">Tenure allowed by policy?</t>
  </si>
  <si>
    <t xml:space="preserve">Yearly view</t>
  </si>
  <si>
    <t xml:space="preserve">Year</t>
  </si>
  <si>
    <t xml:space="preserve">Principal paid (₹)</t>
  </si>
  <si>
    <t xml:space="preserve">Interest paid (₹)</t>
  </si>
  <si>
    <t xml:space="preserve">Closing balance (₹)</t>
  </si>
  <si>
    <t xml:space="preserve">Month</t>
  </si>
  <si>
    <t xml:space="preserve">Opening Bal (₹)</t>
  </si>
  <si>
    <t xml:space="preserve">EMI (₹)</t>
  </si>
  <si>
    <t xml:space="preserve">Interest (₹)</t>
  </si>
  <si>
    <t xml:space="preserve">Principal (₹)</t>
  </si>
  <si>
    <t xml:space="preserve">Closing Bal (₹)</t>
  </si>
  <si>
    <t xml:space="preserve">Check: principal repaid = loan amount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</si>
</sst>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0;\(#,##0.00\);\-"/>
    <numFmt numFmtId="167" formatCode="0.0%"/>
    <numFmt numFmtId="168" formatCode="0.00%"/>
    <numFmt numFmtId="169" formatCode="0%"/>
    <numFmt numFmtId="170" formatCode="0"/>
    <numFmt numFmtId="171" formatCode="0;\-0;&quot;OK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AE282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8220"/>
        <bgColor rgb="FFF79646"/>
      </patternFill>
    </fill>
    <fill>
      <patternFill patternType="solid">
        <fgColor rgb="FFFDE9D9"/>
        <bgColor rgb="FFFFEB9C"/>
      </patternFill>
    </fill>
    <fill>
      <patternFill patternType="solid">
        <fgColor rgb="FFAE282E"/>
        <bgColor rgb="FF99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AE28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5700"/>
      <rgbColor rgb="FF800080"/>
      <rgbColor rgb="FF008080"/>
      <rgbColor rgb="FFBFBFBF"/>
      <rgbColor rgb="FF878787"/>
      <rgbColor rgb="FF9999FF"/>
      <rgbColor rgb="FFC0504D"/>
      <rgbColor rgb="FFFDE9D9"/>
      <rgbColor rgb="FFCCFFFF"/>
      <rgbColor rgb="FF660066"/>
      <rgbColor rgb="FFF7964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58220"/>
      <rgbColor rgb="FFFF6600"/>
      <rgbColor rgb="FF8064A2"/>
      <rgbColor rgb="FF969696"/>
      <rgbColor rgb="FF003366"/>
      <rgbColor rgb="FF339966"/>
      <rgbColor rgb="FF006100"/>
      <rgbColor rgb="FF333300"/>
      <rgbColor rgb="FFAE282E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Approval rate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Summary!G5</c:f>
              <c:strCache>
                <c:ptCount val="1"/>
                <c:pt idx="0">
                  <c:v>Approval %</c:v>
                </c:pt>
              </c:strCache>
            </c:strRef>
          </c:tx>
          <c:spPr>
            <a:solidFill>
              <a:srgbClr val="ae282e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Summary!$A$6:$A$10</c:f>
              <c:strCache>
                <c:ptCount val="5"/>
                <c:pt idx="0">
                  <c:v>Home Loan</c:v>
                </c:pt>
                <c:pt idx="1">
                  <c:v>Auto Loan</c:v>
                </c:pt>
                <c:pt idx="2">
                  <c:v>Personal Loan</c:v>
                </c:pt>
                <c:pt idx="3">
                  <c:v>Education Loan</c:v>
                </c:pt>
                <c:pt idx="4">
                  <c:v>Business Loan</c:v>
                </c:pt>
              </c:strCache>
            </c:strRef>
          </c:cat>
          <c:val>
            <c:numRef>
              <c:f>Summary!$G$6:$G$10</c:f>
              <c:numCache>
                <c:formatCode>0.0%</c:formatCode>
                <c:ptCount val="5"/>
                <c:pt idx="0">
                  <c:v>0.5</c:v>
                </c:pt>
                <c:pt idx="1">
                  <c:v>0.925925925925926</c:v>
                </c:pt>
                <c:pt idx="2">
                  <c:v>0.62962962962963</c:v>
                </c:pt>
                <c:pt idx="3">
                  <c:v>1</c:v>
                </c:pt>
                <c:pt idx="4">
                  <c:v>0.4</c:v>
                </c:pt>
              </c:numCache>
            </c:numRef>
          </c:val>
        </c:ser>
        <c:gapWidth val="150"/>
        <c:overlap val="0"/>
        <c:axId val="19537786"/>
        <c:axId val="77554913"/>
      </c:barChart>
      <c:catAx>
        <c:axId val="19537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54913"/>
        <c:crosses val="autoZero"/>
        <c:auto val="1"/>
        <c:lblAlgn val="ctr"/>
        <c:lblOffset val="100"/>
        <c:noMultiLvlLbl val="0"/>
      </c:catAx>
      <c:valAx>
        <c:axId val="7755491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377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Decision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Summary!B15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Summary!$A$16:$A$21</c:f>
              <c:strCache>
                <c:ptCount val="6"/>
                <c:pt idx="0">
                  <c:v>Approve</c:v>
                </c:pt>
                <c:pt idx="1">
                  <c:v>Refer to Manager</c:v>
                </c:pt>
                <c:pt idx="2">
                  <c:v>Reject - Low Score</c:v>
                </c:pt>
                <c:pt idx="3">
                  <c:v>Reject - Age</c:v>
                </c:pt>
                <c:pt idx="4">
                  <c:v>Reject - Tenure</c:v>
                </c:pt>
                <c:pt idx="5">
                  <c:v>Reject - High FOIR</c:v>
                </c:pt>
              </c:strCache>
            </c:strRef>
          </c:cat>
          <c:val>
            <c:numRef>
              <c:f>Summary!$B$16:$B$21</c:f>
              <c:numCache>
                <c:formatCode>#,##0;\(#,##0\);\-</c:formatCode>
                <c:ptCount val="6"/>
                <c:pt idx="0">
                  <c:v>80</c:v>
                </c:pt>
                <c:pt idx="1">
                  <c:v>5</c:v>
                </c:pt>
                <c:pt idx="2">
                  <c:v>20</c:v>
                </c:pt>
                <c:pt idx="3">
                  <c:v>5</c:v>
                </c:pt>
                <c:pt idx="4">
                  <c:v>0</c:v>
                </c:pt>
                <c:pt idx="5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 amount requested by city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Summary!C35</c:f>
              <c:strCache>
                <c:ptCount val="1"/>
                <c:pt idx="0">
                  <c:v>Requested (₹ cr)</c:v>
                </c:pt>
              </c:strCache>
            </c:strRef>
          </c:tx>
          <c:spPr>
            <a:solidFill>
              <a:srgbClr val="f582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Summary!$A$36:$A$45</c:f>
              <c:strCache>
                <c:ptCount val="10"/>
                <c:pt idx="0">
                  <c:v>Mumbai</c:v>
                </c:pt>
                <c:pt idx="1">
                  <c:v>Delhi</c:v>
                </c:pt>
                <c:pt idx="2">
                  <c:v>Bengaluru</c:v>
                </c:pt>
                <c:pt idx="3">
                  <c:v>Hyderabad</c:v>
                </c:pt>
                <c:pt idx="4">
                  <c:v>Pune</c:v>
                </c:pt>
                <c:pt idx="5">
                  <c:v>Chennai</c:v>
                </c:pt>
                <c:pt idx="6">
                  <c:v>Kolkata</c:v>
                </c:pt>
                <c:pt idx="7">
                  <c:v>Bhopal</c:v>
                </c:pt>
                <c:pt idx="8">
                  <c:v>Indore</c:v>
                </c:pt>
                <c:pt idx="9">
                  <c:v>Jaipur</c:v>
                </c:pt>
              </c:strCache>
            </c:strRef>
          </c:cat>
          <c:val>
            <c:numRef>
              <c:f>Summary!$C$36:$C$45</c:f>
              <c:numCache>
                <c:formatCode>#,##0.00;\(#,##0.00\);\-</c:formatCode>
                <c:ptCount val="10"/>
                <c:pt idx="0">
                  <c:v>3.327</c:v>
                </c:pt>
                <c:pt idx="1">
                  <c:v>1.601</c:v>
                </c:pt>
                <c:pt idx="2">
                  <c:v>2.532</c:v>
                </c:pt>
                <c:pt idx="3">
                  <c:v>1.337</c:v>
                </c:pt>
                <c:pt idx="4">
                  <c:v>0.714</c:v>
                </c:pt>
                <c:pt idx="5">
                  <c:v>0.338</c:v>
                </c:pt>
                <c:pt idx="6">
                  <c:v>0.428</c:v>
                </c:pt>
                <c:pt idx="7">
                  <c:v>1.642</c:v>
                </c:pt>
                <c:pt idx="8">
                  <c:v>2.022</c:v>
                </c:pt>
                <c:pt idx="9">
                  <c:v>0.85</c:v>
                </c:pt>
              </c:numCache>
            </c:numRef>
          </c:val>
        </c:ser>
        <c:gapWidth val="150"/>
        <c:overlap val="0"/>
        <c:axId val="66888969"/>
        <c:axId val="28173931"/>
      </c:barChart>
      <c:catAx>
        <c:axId val="66888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73931"/>
        <c:crosses val="autoZero"/>
        <c:auto val="1"/>
        <c:lblAlgn val="ctr"/>
        <c:lblOffset val="100"/>
        <c:noMultiLvlLbl val="0"/>
      </c:catAx>
      <c:valAx>
        <c:axId val="28173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889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interest rate by score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Summary!E26</c:f>
              <c:strCache>
                <c:ptCount val="1"/>
                <c:pt idx="0">
                  <c:v>Avg Rate</c:v>
                </c:pt>
              </c:strCache>
            </c:strRef>
          </c:tx>
          <c:spPr>
            <a:solidFill>
              <a:srgbClr val="ae28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Summary!$A$27:$A$31</c:f>
              <c:strCache>
                <c:ptCount val="5"/>
                <c:pt idx="0">
                  <c:v>Poor</c:v>
                </c:pt>
                <c:pt idx="1">
                  <c:v>Fair</c:v>
                </c:pt>
                <c:pt idx="2">
                  <c:v>Good</c:v>
                </c:pt>
                <c:pt idx="3">
                  <c:v>Very Good</c:v>
                </c:pt>
                <c:pt idx="4">
                  <c:v>Excellent</c:v>
                </c:pt>
              </c:strCache>
            </c:strRef>
          </c:cat>
          <c:val>
            <c:numRef>
              <c:f>Summary!$E$27:$E$31</c:f>
              <c:numCache>
                <c:formatCode>0.00%</c:formatCode>
                <c:ptCount val="5"/>
                <c:pt idx="0">
                  <c:v>0.1125</c:v>
                </c:pt>
                <c:pt idx="1">
                  <c:v>0.117236842105263</c:v>
                </c:pt>
                <c:pt idx="2">
                  <c:v>0.109285714285714</c:v>
                </c:pt>
                <c:pt idx="3">
                  <c:v>0.0999418604651163</c:v>
                </c:pt>
                <c:pt idx="4">
                  <c:v>0.0978333333333333</c:v>
                </c:pt>
              </c:numCache>
            </c:numRef>
          </c:val>
        </c:ser>
        <c:gapWidth val="150"/>
        <c:overlap val="0"/>
        <c:axId val="92837281"/>
        <c:axId val="64886460"/>
      </c:barChart>
      <c:catAx>
        <c:axId val="928372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86460"/>
        <c:crosses val="autoZero"/>
        <c:auto val="1"/>
        <c:lblAlgn val="ctr"/>
        <c:lblOffset val="100"/>
        <c:noMultiLvlLbl val="0"/>
      </c:catAx>
      <c:valAx>
        <c:axId val="6488646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372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Principal vs interest paid each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EMI_Calculator!B12</c:f>
              <c:strCache>
                <c:ptCount val="1"/>
                <c:pt idx="0">
                  <c:v>Principal paid (₹)</c:v>
                </c:pt>
              </c:strCache>
            </c:strRef>
          </c:tx>
          <c:spPr>
            <a:solidFill>
              <a:srgbClr val="ae28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EMI_Calculator!$A$13:$A$32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EMI_Calculator!$B$13:$B$32</c:f>
              <c:numCache>
                <c:formatCode>#,##0;\(#,##0\);\-</c:formatCode>
                <c:ptCount val="20"/>
                <c:pt idx="0">
                  <c:v>88046.9328941414</c:v>
                </c:pt>
                <c:pt idx="1">
                  <c:v>96785.3782696277</c:v>
                </c:pt>
                <c:pt idx="2">
                  <c:v>106391.093237255</c:v>
                </c:pt>
                <c:pt idx="3">
                  <c:v>116950.15220879</c:v>
                </c:pt>
                <c:pt idx="4">
                  <c:v>128557.172273418</c:v>
                </c:pt>
                <c:pt idx="5">
                  <c:v>141316.161037841</c:v>
                </c:pt>
                <c:pt idx="6">
                  <c:v>155341.44861245</c:v>
                </c:pt>
                <c:pt idx="7">
                  <c:v>170758.712094879</c:v>
                </c:pt>
                <c:pt idx="8">
                  <c:v>187706.101731081</c:v>
                </c:pt>
                <c:pt idx="9">
                  <c:v>206335.478845155</c:v>
                </c:pt>
                <c:pt idx="10">
                  <c:v>226813.776630734</c:v>
                </c:pt>
                <c:pt idx="11">
                  <c:v>249324.495997624</c:v>
                </c:pt>
                <c:pt idx="12">
                  <c:v>274069.349877604</c:v>
                </c:pt>
                <c:pt idx="13">
                  <c:v>301270.070723609</c:v>
                </c:pt>
                <c:pt idx="14">
                  <c:v>331170.397398841</c:v>
                </c:pt>
                <c:pt idx="15">
                  <c:v>364038.259259824</c:v>
                </c:pt>
                <c:pt idx="16">
                  <c:v>400168.177004418</c:v>
                </c:pt>
                <c:pt idx="17">
                  <c:v>439883.901798207</c:v>
                </c:pt>
                <c:pt idx="18">
                  <c:v>483541.316327807</c:v>
                </c:pt>
                <c:pt idx="19">
                  <c:v>531531.623776693</c:v>
                </c:pt>
              </c:numCache>
            </c:numRef>
          </c:val>
        </c:ser>
        <c:ser>
          <c:idx val="1"/>
          <c:order val="1"/>
          <c:tx>
            <c:strRef>
              <c:f>EMI_Calculator!C12</c:f>
              <c:strCache>
                <c:ptCount val="1"/>
                <c:pt idx="0">
                  <c:v>Interest paid (₹)</c:v>
                </c:pt>
              </c:strCache>
            </c:strRef>
          </c:tx>
          <c:spPr>
            <a:solidFill>
              <a:srgbClr val="f582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EMI_Calculator!$A$13:$A$32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EMI_Calculator!$C$13:$C$32</c:f>
              <c:numCache>
                <c:formatCode>#,##0;\(#,##0\);\-</c:formatCode>
                <c:ptCount val="20"/>
                <c:pt idx="0">
                  <c:v>471231.779805969</c:v>
                </c:pt>
                <c:pt idx="1">
                  <c:v>462493.334430483</c:v>
                </c:pt>
                <c:pt idx="2">
                  <c:v>452887.619462856</c:v>
                </c:pt>
                <c:pt idx="3">
                  <c:v>442328.560491321</c:v>
                </c:pt>
                <c:pt idx="4">
                  <c:v>430721.540426693</c:v>
                </c:pt>
                <c:pt idx="5">
                  <c:v>417962.55166227</c:v>
                </c:pt>
                <c:pt idx="6">
                  <c:v>403937.264087661</c:v>
                </c:pt>
                <c:pt idx="7">
                  <c:v>388520.000605231</c:v>
                </c:pt>
                <c:pt idx="8">
                  <c:v>371572.61096903</c:v>
                </c:pt>
                <c:pt idx="9">
                  <c:v>352943.233854956</c:v>
                </c:pt>
                <c:pt idx="10">
                  <c:v>332464.936069377</c:v>
                </c:pt>
                <c:pt idx="11">
                  <c:v>309954.216702487</c:v>
                </c:pt>
                <c:pt idx="12">
                  <c:v>285209.362822507</c:v>
                </c:pt>
                <c:pt idx="13">
                  <c:v>258008.641976502</c:v>
                </c:pt>
                <c:pt idx="14">
                  <c:v>228108.315301269</c:v>
                </c:pt>
                <c:pt idx="15">
                  <c:v>195240.453440287</c:v>
                </c:pt>
                <c:pt idx="16">
                  <c:v>159110.535695693</c:v>
                </c:pt>
                <c:pt idx="17">
                  <c:v>119394.810901903</c:v>
                </c:pt>
                <c:pt idx="18">
                  <c:v>75737.3963723036</c:v>
                </c:pt>
                <c:pt idx="19">
                  <c:v>27747.0889234178</c:v>
                </c:pt>
              </c:numCache>
            </c:numRef>
          </c:val>
        </c:ser>
        <c:gapWidth val="150"/>
        <c:overlap val="100"/>
        <c:axId val="22103227"/>
        <c:axId val="5884903"/>
      </c:barChart>
      <c:catAx>
        <c:axId val="221032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4903"/>
        <c:crosses val="autoZero"/>
        <c:auto val="1"/>
        <c:lblAlgn val="ctr"/>
        <c:lblOffset val="100"/>
        <c:noMultiLvlLbl val="0"/>
      </c:catAx>
      <c:valAx>
        <c:axId val="5884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03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130680</xdr:rowOff>
    </xdr:from>
    <xdr:to>
      <xdr:col>6</xdr:col>
      <xdr:colOff>27720</xdr:colOff>
      <xdr:row>19</xdr:row>
      <xdr:rowOff>163440</xdr:rowOff>
    </xdr:to>
    <xdr:graphicFrame>
      <xdr:nvGraphicFramePr>
        <xdr:cNvPr id="0" name="Chart 1"/>
        <xdr:cNvGraphicFramePr/>
      </xdr:nvGraphicFramePr>
      <xdr:xfrm>
        <a:off x="0" y="1333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</xdr:row>
      <xdr:rowOff>130680</xdr:rowOff>
    </xdr:from>
    <xdr:to>
      <xdr:col>12</xdr:col>
      <xdr:colOff>27360</xdr:colOff>
      <xdr:row>19</xdr:row>
      <xdr:rowOff>163440</xdr:rowOff>
    </xdr:to>
    <xdr:graphicFrame>
      <xdr:nvGraphicFramePr>
        <xdr:cNvPr id="1" name="Chart 2"/>
        <xdr:cNvGraphicFramePr/>
      </xdr:nvGraphicFramePr>
      <xdr:xfrm>
        <a:off x="4651920" y="1333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131040</xdr:rowOff>
    </xdr:from>
    <xdr:to>
      <xdr:col>6</xdr:col>
      <xdr:colOff>27720</xdr:colOff>
      <xdr:row>36</xdr:row>
      <xdr:rowOff>153000</xdr:rowOff>
    </xdr:to>
    <xdr:graphicFrame>
      <xdr:nvGraphicFramePr>
        <xdr:cNvPr id="2" name="Chart 3"/>
        <xdr:cNvGraphicFramePr/>
      </xdr:nvGraphicFramePr>
      <xdr:xfrm>
        <a:off x="0" y="43815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21</xdr:row>
      <xdr:rowOff>131040</xdr:rowOff>
    </xdr:from>
    <xdr:to>
      <xdr:col>12</xdr:col>
      <xdr:colOff>27360</xdr:colOff>
      <xdr:row>36</xdr:row>
      <xdr:rowOff>153000</xdr:rowOff>
    </xdr:to>
    <xdr:graphicFrame>
      <xdr:nvGraphicFramePr>
        <xdr:cNvPr id="3" name="Chart 4"/>
        <xdr:cNvGraphicFramePr/>
      </xdr:nvGraphicFramePr>
      <xdr:xfrm>
        <a:off x="4651920" y="43815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130680</xdr:rowOff>
    </xdr:from>
    <xdr:to>
      <xdr:col>24</xdr:col>
      <xdr:colOff>4680</xdr:colOff>
      <xdr:row>15</xdr:row>
      <xdr:rowOff>153000</xdr:rowOff>
    </xdr:to>
    <xdr:graphicFrame>
      <xdr:nvGraphicFramePr>
        <xdr:cNvPr id="4" name="Chart 1"/>
        <xdr:cNvGraphicFramePr/>
      </xdr:nvGraphicFramePr>
      <xdr:xfrm>
        <a:off x="13721760" y="380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customFormat="false" ht="30" hidden="false" customHeight="true" outlineLevel="0" collapsed="false">
      <c r="A5" s="4" t="n">
        <f aca="false">Summary!B11</f>
        <v>120</v>
      </c>
      <c r="B5" s="4"/>
      <c r="C5" s="5" t="n">
        <f aca="false">Summary!C11</f>
        <v>14.791</v>
      </c>
      <c r="D5" s="5"/>
      <c r="E5" s="6" t="n">
        <f aca="false">Summary!G11</f>
        <v>0.666666666666667</v>
      </c>
      <c r="F5" s="6"/>
      <c r="G5" s="7" t="n">
        <f aca="false">Summary!H11</f>
        <v>0.105791666666667</v>
      </c>
      <c r="H5" s="7"/>
      <c r="I5" s="6" t="n">
        <f aca="false">Summary!I11</f>
        <v>0.295639725543116</v>
      </c>
      <c r="J5" s="6"/>
      <c r="K5" s="5" t="n">
        <f aca="false">Summary!J11</f>
        <v>9.344</v>
      </c>
      <c r="L5" s="5"/>
    </row>
    <row r="40" customFormat="false" ht="15" hidden="false" customHeight="false" outlineLevel="0" collapsed="false">
      <c r="A40" s="8" t="s">
        <v>8</v>
      </c>
    </row>
    <row r="41" customFormat="false" ht="15" hidden="false" customHeight="false" outlineLevel="0" collapsed="false">
      <c r="A41" s="9" t="str">
        <f aca="false">"- Highest approval rate: "&amp;INDEX(Summary!A6:A10,MATCH(MAX(Summary!G6:G10),Summary!G6:G10,0))&amp;" ("&amp;TEXT(MAX(Summary!G6:G10),"0%")&amp;"); lowest: "&amp;INDEX(Summary!A6:A10,MATCH(MIN(Summary!G6:G10),Summary!G6:G10,0))&amp;" ("&amp;TEXT(MIN(Summary!G6:G10),"0%")&amp;")."</f>
        <v>- Highest approval rate: Education Loan (100%); lowest: Business Loan (40%).</v>
      </c>
    </row>
    <row r="42" customFormat="false" ht="15" hidden="false" customHeight="false" outlineLevel="0" collapsed="false">
      <c r="A42" s="9" t="str">
        <f aca="false">"- Most common rejection reason: "&amp;INDEX(Summary!A18:A21,MATCH(MAX(Summary!B18:B21),Summary!B18:B21,0))&amp;" ("&amp;MAX(Summary!B18:B21)&amp;" applications)."</f>
        <v>- Most common rejection reason: Reject - Low Score (20 applications).</v>
      </c>
    </row>
    <row r="43" customFormat="false" ht="15" hidden="false" customHeight="false" outlineLevel="0" collapsed="false">
      <c r="A43" s="9" t="str">
        <f aca="false">"- Risk-based pricing: avg rate is "&amp;TEXT(Summary!E27,"0.0%")&amp;" for Poor scores vs "&amp;TEXT(Summary!E31,"0.0%")&amp;" for Excellent scores."</f>
        <v>- Risk-based pricing: avg rate is 11.3% for Poor scores vs 9.8% for Excellent scores.</v>
      </c>
    </row>
    <row r="44" customFormat="false" ht="15" hidden="false" customHeight="false" outlineLevel="0" collapsed="false">
      <c r="A44" s="9" t="s">
        <v>9</v>
      </c>
    </row>
  </sheetData>
  <mergeCells count="1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20"/>
  </cols>
  <sheetData>
    <row r="1" customFormat="false" ht="31.5" hidden="false" customHeight="true" outlineLevel="0" collapsed="false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R1" s="2" t="s">
        <v>26</v>
      </c>
    </row>
    <row r="2" customFormat="false" ht="15" hidden="false" customHeight="false" outlineLevel="0" collapsed="false">
      <c r="A2" s="9" t="s">
        <v>27</v>
      </c>
      <c r="B2" s="9" t="s">
        <v>28</v>
      </c>
      <c r="C2" s="9" t="s">
        <v>29</v>
      </c>
      <c r="D2" s="9" t="s">
        <v>30</v>
      </c>
      <c r="E2" s="11" t="n">
        <v>41</v>
      </c>
      <c r="F2" s="12" t="n">
        <v>29000</v>
      </c>
      <c r="G2" s="11" t="n">
        <v>746</v>
      </c>
      <c r="H2" s="12" t="n">
        <v>290000</v>
      </c>
      <c r="I2" s="11" t="n">
        <v>5</v>
      </c>
      <c r="J2" s="12" t="n">
        <v>3000</v>
      </c>
      <c r="K2" s="9" t="str">
        <f aca="false">INDEX(Policy!$B$13:$B$17,MATCH(G2,Policy!$A$13:$A$17,1))</f>
        <v>Good</v>
      </c>
      <c r="L2" s="13" t="n">
        <f aca="false">INDEX(Policy!$B$5:$B$9,MATCH(D2,Policy!$A$5:$A$9,0))+INDEX(Policy!$C$13:$C$17,MATCH(G2,Policy!$A$13:$A$17,1))</f>
        <v>0.1</v>
      </c>
      <c r="M2" s="14" t="n">
        <f aca="false">PMT(L2/12,I2*12,-H2)</f>
        <v>6161.6429662678</v>
      </c>
      <c r="N2" s="15" t="n">
        <f aca="false">(M2+J2)/F2</f>
        <v>0.315918722974752</v>
      </c>
      <c r="O2" s="14" t="n">
        <f aca="false">MAX(0,ROUND(PV(L2/12,I2*12,-(INDEX(Policy!$D$5:$D$9,MATCH(D2,Policy!$A$5:$A$9,0))*F2-J2)),-4))</f>
        <v>540000</v>
      </c>
      <c r="P2" s="9" t="str">
        <f aca="false">IF(G2&lt;INDEX(Policy!$E$5:$E$9,MATCH(D2,Policy!$A$5:$A$9,0)),"Reject - Low Score",IF(E2+I2&gt;Policy!$B$20,"Reject - Age",IF(I2&gt;INDEX(Policy!$C$5:$C$9,MATCH(D2,Policy!$A$5:$A$9,0)),"Reject - Tenure",IF(N2&lt;=INDEX(Policy!$D$5:$D$9,MATCH(D2,Policy!$A$5:$A$9,0)),"Approve",IF(N2&lt;=INDEX(Policy!$D$5:$D$9,MATCH(D2,Policy!$A$5:$A$9,0))+Policy!$B$21,"Refer to Manager","Reject - High FOIR")))))</f>
        <v>Approve</v>
      </c>
    </row>
    <row r="3" customFormat="false" ht="15" hidden="false" customHeight="false" outlineLevel="0" collapsed="false">
      <c r="A3" s="9" t="s">
        <v>31</v>
      </c>
      <c r="B3" s="9" t="s">
        <v>32</v>
      </c>
      <c r="C3" s="9" t="s">
        <v>29</v>
      </c>
      <c r="D3" s="9" t="s">
        <v>33</v>
      </c>
      <c r="E3" s="11" t="n">
        <v>25</v>
      </c>
      <c r="F3" s="12" t="n">
        <v>100000</v>
      </c>
      <c r="G3" s="11" t="n">
        <v>761</v>
      </c>
      <c r="H3" s="12" t="n">
        <v>710000</v>
      </c>
      <c r="I3" s="11" t="n">
        <v>5</v>
      </c>
      <c r="J3" s="12" t="n">
        <v>0</v>
      </c>
      <c r="K3" s="9" t="str">
        <f aca="false">INDEX(Policy!$B$13:$B$17,MATCH(G3,Policy!$A$13:$A$17,1))</f>
        <v>Very Good</v>
      </c>
      <c r="L3" s="13" t="n">
        <f aca="false">INDEX(Policy!$B$5:$B$9,MATCH(D3,Policy!$A$5:$A$9,0))+INDEX(Policy!$C$13:$C$17,MATCH(G3,Policy!$A$13:$A$17,1))</f>
        <v>0.1225</v>
      </c>
      <c r="M3" s="14" t="n">
        <f aca="false">PMT(L3/12,I3*12,-H3)</f>
        <v>15883.4008014475</v>
      </c>
      <c r="N3" s="15" t="n">
        <f aca="false">(M3+J3)/F3</f>
        <v>0.158834008014475</v>
      </c>
      <c r="O3" s="14" t="n">
        <f aca="false">MAX(0,ROUND(PV(L3/12,I3*12,-(INDEX(Policy!$D$5:$D$9,MATCH(D3,Policy!$A$5:$A$9,0))*F3-J3)),-4))</f>
        <v>2240000</v>
      </c>
      <c r="P3" s="9" t="str">
        <f aca="false">IF(G3&lt;INDEX(Policy!$E$5:$E$9,MATCH(D3,Policy!$A$5:$A$9,0)),"Reject - Low Score",IF(E3+I3&gt;Policy!$B$20,"Reject - Age",IF(I3&gt;INDEX(Policy!$C$5:$C$9,MATCH(D3,Policy!$A$5:$A$9,0)),"Reject - Tenure",IF(N3&lt;=INDEX(Policy!$D$5:$D$9,MATCH(D3,Policy!$A$5:$A$9,0)),"Approve",IF(N3&lt;=INDEX(Policy!$D$5:$D$9,MATCH(D3,Policy!$A$5:$A$9,0))+Policy!$B$21,"Refer to Manager","Reject - High FOIR")))))</f>
        <v>Approve</v>
      </c>
    </row>
    <row r="4" customFormat="false" ht="15" hidden="false" customHeight="false" outlineLevel="0" collapsed="false">
      <c r="A4" s="9" t="s">
        <v>34</v>
      </c>
      <c r="B4" s="9" t="s">
        <v>35</v>
      </c>
      <c r="C4" s="9" t="s">
        <v>36</v>
      </c>
      <c r="D4" s="9" t="s">
        <v>37</v>
      </c>
      <c r="E4" s="11" t="n">
        <v>44</v>
      </c>
      <c r="F4" s="12" t="n">
        <v>51000</v>
      </c>
      <c r="G4" s="11" t="n">
        <v>754</v>
      </c>
      <c r="H4" s="12" t="n">
        <v>1310000</v>
      </c>
      <c r="I4" s="11" t="n">
        <v>15</v>
      </c>
      <c r="J4" s="12" t="n">
        <v>0</v>
      </c>
      <c r="K4" s="9" t="str">
        <f aca="false">INDEX(Policy!$B$13:$B$17,MATCH(G4,Policy!$A$13:$A$17,1))</f>
        <v>Very Good</v>
      </c>
      <c r="L4" s="13" t="n">
        <f aca="false">INDEX(Policy!$B$5:$B$9,MATCH(D4,Policy!$A$5:$A$9,0))+INDEX(Policy!$C$13:$C$17,MATCH(G4,Policy!$A$13:$A$17,1))</f>
        <v>0.09</v>
      </c>
      <c r="M4" s="14" t="n">
        <f aca="false">PMT(L4/12,I4*12,-H4)</f>
        <v>13286.8922525194</v>
      </c>
      <c r="N4" s="15" t="n">
        <f aca="false">(M4+J4)/F4</f>
        <v>0.260527299069008</v>
      </c>
      <c r="O4" s="14" t="n">
        <f aca="false">MAX(0,ROUND(PV(L4/12,I4*12,-(INDEX(Policy!$D$5:$D$9,MATCH(D4,Policy!$A$5:$A$9,0))*F4-J4)),-4))</f>
        <v>2510000</v>
      </c>
      <c r="P4" s="9" t="str">
        <f aca="false">IF(G4&lt;INDEX(Policy!$E$5:$E$9,MATCH(D4,Policy!$A$5:$A$9,0)),"Reject - Low Score",IF(E4+I4&gt;Policy!$B$20,"Reject - Age",IF(I4&gt;INDEX(Policy!$C$5:$C$9,MATCH(D4,Policy!$A$5:$A$9,0)),"Reject - Tenure",IF(N4&lt;=INDEX(Policy!$D$5:$D$9,MATCH(D4,Policy!$A$5:$A$9,0)),"Approve",IF(N4&lt;=INDEX(Policy!$D$5:$D$9,MATCH(D4,Policy!$A$5:$A$9,0))+Policy!$B$21,"Refer to Manager","Reject - High FOIR")))))</f>
        <v>Approve</v>
      </c>
    </row>
    <row r="5" customFormat="false" ht="15" hidden="false" customHeight="false" outlineLevel="0" collapsed="false">
      <c r="A5" s="9" t="s">
        <v>38</v>
      </c>
      <c r="B5" s="9" t="s">
        <v>39</v>
      </c>
      <c r="C5" s="9" t="s">
        <v>40</v>
      </c>
      <c r="D5" s="9" t="s">
        <v>41</v>
      </c>
      <c r="E5" s="11" t="n">
        <v>38</v>
      </c>
      <c r="F5" s="12" t="n">
        <v>93000</v>
      </c>
      <c r="G5" s="11" t="n">
        <v>714</v>
      </c>
      <c r="H5" s="12" t="n">
        <v>370000</v>
      </c>
      <c r="I5" s="11" t="n">
        <v>5</v>
      </c>
      <c r="J5" s="12" t="n">
        <v>0</v>
      </c>
      <c r="K5" s="9" t="str">
        <f aca="false">INDEX(Policy!$B$13:$B$17,MATCH(G5,Policy!$A$13:$A$17,1))</f>
        <v>Good</v>
      </c>
      <c r="L5" s="13" t="n">
        <f aca="false">INDEX(Policy!$B$5:$B$9,MATCH(D5,Policy!$A$5:$A$9,0))+INDEX(Policy!$C$13:$C$17,MATCH(G5,Policy!$A$13:$A$17,1))</f>
        <v>0.1225</v>
      </c>
      <c r="M5" s="14" t="n">
        <f aca="false">PMT(L5/12,I5*12,-H5)</f>
        <v>8277.26520638811</v>
      </c>
      <c r="N5" s="15" t="n">
        <f aca="false">(M5+J5)/F5</f>
        <v>0.0890028516815926</v>
      </c>
      <c r="O5" s="14" t="n">
        <f aca="false">MAX(0,ROUND(PV(L5/12,I5*12,-(INDEX(Policy!$D$5:$D$9,MATCH(D5,Policy!$A$5:$A$9,0))*F5-J5)),-4))</f>
        <v>1870000</v>
      </c>
      <c r="P5" s="9" t="str">
        <f aca="false">IF(G5&lt;INDEX(Policy!$E$5:$E$9,MATCH(D5,Policy!$A$5:$A$9,0)),"Reject - Low Score",IF(E5+I5&gt;Policy!$B$20,"Reject - Age",IF(I5&gt;INDEX(Policy!$C$5:$C$9,MATCH(D5,Policy!$A$5:$A$9,0)),"Reject - Tenure",IF(N5&lt;=INDEX(Policy!$D$5:$D$9,MATCH(D5,Policy!$A$5:$A$9,0)),"Approve",IF(N5&lt;=INDEX(Policy!$D$5:$D$9,MATCH(D5,Policy!$A$5:$A$9,0))+Policy!$B$21,"Refer to Manager","Reject - High FOIR")))))</f>
        <v>Reject - Low Score</v>
      </c>
    </row>
    <row r="6" customFormat="false" ht="15" hidden="false" customHeight="false" outlineLevel="0" collapsed="false">
      <c r="A6" s="9" t="s">
        <v>42</v>
      </c>
      <c r="B6" s="9" t="s">
        <v>43</v>
      </c>
      <c r="C6" s="9" t="s">
        <v>44</v>
      </c>
      <c r="D6" s="9" t="s">
        <v>37</v>
      </c>
      <c r="E6" s="11" t="n">
        <v>26</v>
      </c>
      <c r="F6" s="12" t="n">
        <v>42000</v>
      </c>
      <c r="G6" s="11" t="n">
        <v>712</v>
      </c>
      <c r="H6" s="12" t="n">
        <v>1280000</v>
      </c>
      <c r="I6" s="11" t="n">
        <v>10</v>
      </c>
      <c r="J6" s="12" t="n">
        <v>0</v>
      </c>
      <c r="K6" s="9" t="str">
        <f aca="false">INDEX(Policy!$B$13:$B$17,MATCH(G6,Policy!$A$13:$A$17,1))</f>
        <v>Good</v>
      </c>
      <c r="L6" s="13" t="n">
        <f aca="false">INDEX(Policy!$B$5:$B$9,MATCH(D6,Policy!$A$5:$A$9,0))+INDEX(Policy!$C$13:$C$17,MATCH(G6,Policy!$A$13:$A$17,1))</f>
        <v>0.095</v>
      </c>
      <c r="M6" s="14" t="n">
        <f aca="false">PMT(L6/12,I6*12,-H6)</f>
        <v>16562.8873677795</v>
      </c>
      <c r="N6" s="15" t="n">
        <f aca="false">(M6+J6)/F6</f>
        <v>0.394354461137606</v>
      </c>
      <c r="O6" s="14" t="n">
        <f aca="false">MAX(0,ROUND(PV(L6/12,I6*12,-(INDEX(Policy!$D$5:$D$9,MATCH(D6,Policy!$A$5:$A$9,0))*F6-J6)),-4))</f>
        <v>1620000</v>
      </c>
      <c r="P6" s="9" t="str">
        <f aca="false">IF(G6&lt;INDEX(Policy!$E$5:$E$9,MATCH(D6,Policy!$A$5:$A$9,0)),"Reject - Low Score",IF(E6+I6&gt;Policy!$B$20,"Reject - Age",IF(I6&gt;INDEX(Policy!$C$5:$C$9,MATCH(D6,Policy!$A$5:$A$9,0)),"Reject - Tenure",IF(N6&lt;=INDEX(Policy!$D$5:$D$9,MATCH(D6,Policy!$A$5:$A$9,0)),"Approve",IF(N6&lt;=INDEX(Policy!$D$5:$D$9,MATCH(D6,Policy!$A$5:$A$9,0))+Policy!$B$21,"Refer to Manager","Reject - High FOIR")))))</f>
        <v>Approve</v>
      </c>
    </row>
    <row r="7" customFormat="false" ht="15" hidden="false" customHeight="false" outlineLevel="0" collapsed="false">
      <c r="A7" s="9" t="s">
        <v>45</v>
      </c>
      <c r="B7" s="9" t="s">
        <v>46</v>
      </c>
      <c r="C7" s="9" t="s">
        <v>36</v>
      </c>
      <c r="D7" s="9" t="s">
        <v>37</v>
      </c>
      <c r="E7" s="11" t="n">
        <v>42</v>
      </c>
      <c r="F7" s="12" t="n">
        <v>74000</v>
      </c>
      <c r="G7" s="11" t="n">
        <v>785</v>
      </c>
      <c r="H7" s="12" t="n">
        <v>2570000</v>
      </c>
      <c r="I7" s="11" t="n">
        <v>20</v>
      </c>
      <c r="J7" s="12" t="n">
        <v>0</v>
      </c>
      <c r="K7" s="9" t="str">
        <f aca="false">INDEX(Policy!$B$13:$B$17,MATCH(G7,Policy!$A$13:$A$17,1))</f>
        <v>Very Good</v>
      </c>
      <c r="L7" s="13" t="n">
        <f aca="false">INDEX(Policy!$B$5:$B$9,MATCH(D7,Policy!$A$5:$A$9,0))+INDEX(Policy!$C$13:$C$17,MATCH(G7,Policy!$A$13:$A$17,1))</f>
        <v>0.09</v>
      </c>
      <c r="M7" s="14" t="n">
        <f aca="false">PMT(L7/12,I7*12,-H7)</f>
        <v>23122.9570653494</v>
      </c>
      <c r="N7" s="15" t="n">
        <f aca="false">(M7+J7)/F7</f>
        <v>0.312472392774992</v>
      </c>
      <c r="O7" s="14" t="n">
        <f aca="false">MAX(0,ROUND(PV(L7/12,I7*12,-(INDEX(Policy!$D$5:$D$9,MATCH(D7,Policy!$A$5:$A$9,0))*F7-J7)),-4))</f>
        <v>4110000</v>
      </c>
      <c r="P7" s="9" t="str">
        <f aca="false">IF(G7&lt;INDEX(Policy!$E$5:$E$9,MATCH(D7,Policy!$A$5:$A$9,0)),"Reject - Low Score",IF(E7+I7&gt;Policy!$B$20,"Reject - Age",IF(I7&gt;INDEX(Policy!$C$5:$C$9,MATCH(D7,Policy!$A$5:$A$9,0)),"Reject - Tenure",IF(N7&lt;=INDEX(Policy!$D$5:$D$9,MATCH(D7,Policy!$A$5:$A$9,0)),"Approve",IF(N7&lt;=INDEX(Policy!$D$5:$D$9,MATCH(D7,Policy!$A$5:$A$9,0))+Policy!$B$21,"Refer to Manager","Reject - High FOIR")))))</f>
        <v>Approve</v>
      </c>
    </row>
    <row r="8" customFormat="false" ht="15" hidden="false" customHeight="false" outlineLevel="0" collapsed="false">
      <c r="A8" s="9" t="s">
        <v>47</v>
      </c>
      <c r="B8" s="9" t="s">
        <v>48</v>
      </c>
      <c r="C8" s="9" t="s">
        <v>36</v>
      </c>
      <c r="D8" s="9" t="s">
        <v>30</v>
      </c>
      <c r="E8" s="11" t="n">
        <v>45</v>
      </c>
      <c r="F8" s="12" t="n">
        <v>44000</v>
      </c>
      <c r="G8" s="11" t="n">
        <v>813</v>
      </c>
      <c r="H8" s="12" t="n">
        <v>370000</v>
      </c>
      <c r="I8" s="11" t="n">
        <v>5</v>
      </c>
      <c r="J8" s="12" t="n">
        <v>9000</v>
      </c>
      <c r="K8" s="9" t="str">
        <f aca="false">INDEX(Policy!$B$13:$B$17,MATCH(G8,Policy!$A$13:$A$17,1))</f>
        <v>Excellent</v>
      </c>
      <c r="L8" s="13" t="n">
        <f aca="false">INDEX(Policy!$B$5:$B$9,MATCH(D8,Policy!$A$5:$A$9,0))+INDEX(Policy!$C$13:$C$17,MATCH(G8,Policy!$A$13:$A$17,1))</f>
        <v>0.0925</v>
      </c>
      <c r="M8" s="14" t="n">
        <f aca="false">PMT(L8/12,I8*12,-H8)</f>
        <v>7725.56236905164</v>
      </c>
      <c r="N8" s="15" t="n">
        <f aca="false">(M8+J8)/F8</f>
        <v>0.380126417478446</v>
      </c>
      <c r="O8" s="14" t="n">
        <f aca="false">MAX(0,ROUND(PV(L8/12,I8*12,-(INDEX(Policy!$D$5:$D$9,MATCH(D8,Policy!$A$5:$A$9,0))*F8-J8)),-4))</f>
        <v>620000</v>
      </c>
      <c r="P8" s="9" t="str">
        <f aca="false">IF(G8&lt;INDEX(Policy!$E$5:$E$9,MATCH(D8,Policy!$A$5:$A$9,0)),"Reject - Low Score",IF(E8+I8&gt;Policy!$B$20,"Reject - Age",IF(I8&gt;INDEX(Policy!$C$5:$C$9,MATCH(D8,Policy!$A$5:$A$9,0)),"Reject - Tenure",IF(N8&lt;=INDEX(Policy!$D$5:$D$9,MATCH(D8,Policy!$A$5:$A$9,0)),"Approve",IF(N8&lt;=INDEX(Policy!$D$5:$D$9,MATCH(D8,Policy!$A$5:$A$9,0))+Policy!$B$21,"Refer to Manager","Reject - High FOIR")))))</f>
        <v>Approve</v>
      </c>
    </row>
    <row r="9" customFormat="false" ht="15" hidden="false" customHeight="false" outlineLevel="0" collapsed="false">
      <c r="A9" s="9" t="s">
        <v>49</v>
      </c>
      <c r="B9" s="9" t="s">
        <v>50</v>
      </c>
      <c r="C9" s="9" t="s">
        <v>51</v>
      </c>
      <c r="D9" s="9" t="s">
        <v>37</v>
      </c>
      <c r="E9" s="11" t="n">
        <v>28</v>
      </c>
      <c r="F9" s="12" t="n">
        <v>71000</v>
      </c>
      <c r="G9" s="11" t="n">
        <v>772</v>
      </c>
      <c r="H9" s="12" t="n">
        <v>1480000</v>
      </c>
      <c r="I9" s="11" t="n">
        <v>30</v>
      </c>
      <c r="J9" s="12" t="n">
        <v>18000</v>
      </c>
      <c r="K9" s="9" t="str">
        <f aca="false">INDEX(Policy!$B$13:$B$17,MATCH(G9,Policy!$A$13:$A$17,1))</f>
        <v>Very Good</v>
      </c>
      <c r="L9" s="13" t="n">
        <f aca="false">INDEX(Policy!$B$5:$B$9,MATCH(D9,Policy!$A$5:$A$9,0))+INDEX(Policy!$C$13:$C$17,MATCH(G9,Policy!$A$13:$A$17,1))</f>
        <v>0.09</v>
      </c>
      <c r="M9" s="14" t="n">
        <f aca="false">PMT(L9/12,I9*12,-H9)</f>
        <v>11908.4147307828</v>
      </c>
      <c r="N9" s="15" t="n">
        <f aca="false">(M9+J9)/F9</f>
        <v>0.421245277898349</v>
      </c>
      <c r="O9" s="14" t="n">
        <f aca="false">MAX(0,ROUND(PV(L9/12,I9*12,-(INDEX(Policy!$D$5:$D$9,MATCH(D9,Policy!$A$5:$A$9,0))*F9-J9)),-4))</f>
        <v>2170000</v>
      </c>
      <c r="P9" s="9" t="str">
        <f aca="false">IF(G9&lt;INDEX(Policy!$E$5:$E$9,MATCH(D9,Policy!$A$5:$A$9,0)),"Reject - Low Score",IF(E9+I9&gt;Policy!$B$20,"Reject - Age",IF(I9&gt;INDEX(Policy!$C$5:$C$9,MATCH(D9,Policy!$A$5:$A$9,0)),"Reject - Tenure",IF(N9&lt;=INDEX(Policy!$D$5:$D$9,MATCH(D9,Policy!$A$5:$A$9,0)),"Approve",IF(N9&lt;=INDEX(Policy!$D$5:$D$9,MATCH(D9,Policy!$A$5:$A$9,0))+Policy!$B$21,"Refer to Manager","Reject - High FOIR")))))</f>
        <v>Approve</v>
      </c>
    </row>
    <row r="10" customFormat="false" ht="15" hidden="false" customHeight="false" outlineLevel="0" collapsed="false">
      <c r="A10" s="9" t="s">
        <v>52</v>
      </c>
      <c r="B10" s="9" t="s">
        <v>53</v>
      </c>
      <c r="C10" s="9" t="s">
        <v>54</v>
      </c>
      <c r="D10" s="9" t="s">
        <v>37</v>
      </c>
      <c r="E10" s="11" t="n">
        <v>35</v>
      </c>
      <c r="F10" s="12" t="n">
        <v>67000</v>
      </c>
      <c r="G10" s="11" t="n">
        <v>782</v>
      </c>
      <c r="H10" s="12" t="n">
        <v>2690000</v>
      </c>
      <c r="I10" s="11" t="n">
        <v>30</v>
      </c>
      <c r="J10" s="12" t="n">
        <v>10500</v>
      </c>
      <c r="K10" s="9" t="str">
        <f aca="false">INDEX(Policy!$B$13:$B$17,MATCH(G10,Policy!$A$13:$A$17,1))</f>
        <v>Very Good</v>
      </c>
      <c r="L10" s="13" t="n">
        <f aca="false">INDEX(Policy!$B$5:$B$9,MATCH(D10,Policy!$A$5:$A$9,0))+INDEX(Policy!$C$13:$C$17,MATCH(G10,Policy!$A$13:$A$17,1))</f>
        <v>0.09</v>
      </c>
      <c r="M10" s="14" t="n">
        <f aca="false">PMT(L10/12,I10*12,-H10)</f>
        <v>21644.3483958147</v>
      </c>
      <c r="N10" s="15" t="n">
        <f aca="false">(M10+J10)/F10</f>
        <v>0.479766393967383</v>
      </c>
      <c r="O10" s="14" t="n">
        <f aca="false">MAX(0,ROUND(PV(L10/12,I10*12,-(INDEX(Policy!$D$5:$D$9,MATCH(D10,Policy!$A$5:$A$9,0))*F10-J10)),-4))</f>
        <v>2860000</v>
      </c>
      <c r="P10" s="9" t="str">
        <f aca="false">IF(G10&lt;INDEX(Policy!$E$5:$E$9,MATCH(D10,Policy!$A$5:$A$9,0)),"Reject - Low Score",IF(E10+I10&gt;Policy!$B$20,"Reject - Age",IF(I10&gt;INDEX(Policy!$C$5:$C$9,MATCH(D10,Policy!$A$5:$A$9,0)),"Reject - Tenure",IF(N10&lt;=INDEX(Policy!$D$5:$D$9,MATCH(D10,Policy!$A$5:$A$9,0)),"Approve",IF(N10&lt;=INDEX(Policy!$D$5:$D$9,MATCH(D10,Policy!$A$5:$A$9,0))+Policy!$B$21,"Refer to Manager","Reject - High FOIR")))))</f>
        <v>Approve</v>
      </c>
    </row>
    <row r="11" customFormat="false" ht="15" hidden="false" customHeight="false" outlineLevel="0" collapsed="false">
      <c r="A11" s="9" t="s">
        <v>55</v>
      </c>
      <c r="B11" s="9" t="s">
        <v>56</v>
      </c>
      <c r="C11" s="9" t="s">
        <v>36</v>
      </c>
      <c r="D11" s="9" t="s">
        <v>37</v>
      </c>
      <c r="E11" s="11" t="n">
        <v>29</v>
      </c>
      <c r="F11" s="12" t="n">
        <v>28000</v>
      </c>
      <c r="G11" s="11" t="n">
        <v>655</v>
      </c>
      <c r="H11" s="12" t="n">
        <v>510000</v>
      </c>
      <c r="I11" s="11" t="n">
        <v>20</v>
      </c>
      <c r="J11" s="12" t="n">
        <v>0</v>
      </c>
      <c r="K11" s="9" t="str">
        <f aca="false">INDEX(Policy!$B$13:$B$17,MATCH(G11,Policy!$A$13:$A$17,1))</f>
        <v>Fair</v>
      </c>
      <c r="L11" s="13" t="n">
        <f aca="false">INDEX(Policy!$B$5:$B$9,MATCH(D11,Policy!$A$5:$A$9,0))+INDEX(Policy!$C$13:$C$17,MATCH(G11,Policy!$A$13:$A$17,1))</f>
        <v>0.1025</v>
      </c>
      <c r="M11" s="14" t="n">
        <f aca="false">PMT(L11/12,I11*12,-H11)</f>
        <v>5006.38127363087</v>
      </c>
      <c r="N11" s="15" t="n">
        <f aca="false">(M11+J11)/F11</f>
        <v>0.178799331201102</v>
      </c>
      <c r="O11" s="14" t="n">
        <f aca="false">MAX(0,ROUND(PV(L11/12,I11*12,-(INDEX(Policy!$D$5:$D$9,MATCH(D11,Policy!$A$5:$A$9,0))*F11-J11)),-4))</f>
        <v>1430000</v>
      </c>
      <c r="P11" s="9" t="str">
        <f aca="false">IF(G11&lt;INDEX(Policy!$E$5:$E$9,MATCH(D11,Policy!$A$5:$A$9,0)),"Reject - Low Score",IF(E11+I11&gt;Policy!$B$20,"Reject - Age",IF(I11&gt;INDEX(Policy!$C$5:$C$9,MATCH(D11,Policy!$A$5:$A$9,0)),"Reject - Tenure",IF(N11&lt;=INDEX(Policy!$D$5:$D$9,MATCH(D11,Policy!$A$5:$A$9,0)),"Approve",IF(N11&lt;=INDEX(Policy!$D$5:$D$9,MATCH(D11,Policy!$A$5:$A$9,0))+Policy!$B$21,"Refer to Manager","Reject - High FOIR")))))</f>
        <v>Reject - Low Score</v>
      </c>
    </row>
    <row r="12" customFormat="false" ht="15" hidden="false" customHeight="false" outlineLevel="0" collapsed="false">
      <c r="A12" s="9" t="s">
        <v>57</v>
      </c>
      <c r="B12" s="9" t="s">
        <v>58</v>
      </c>
      <c r="C12" s="9" t="s">
        <v>59</v>
      </c>
      <c r="D12" s="9" t="s">
        <v>41</v>
      </c>
      <c r="E12" s="11" t="n">
        <v>47</v>
      </c>
      <c r="F12" s="12" t="n">
        <v>87000</v>
      </c>
      <c r="G12" s="11" t="n">
        <v>816</v>
      </c>
      <c r="H12" s="12" t="n">
        <v>160000</v>
      </c>
      <c r="I12" s="11" t="n">
        <v>2</v>
      </c>
      <c r="J12" s="12" t="n">
        <v>0</v>
      </c>
      <c r="K12" s="9" t="str">
        <f aca="false">INDEX(Policy!$B$13:$B$17,MATCH(G12,Policy!$A$13:$A$17,1))</f>
        <v>Excellent</v>
      </c>
      <c r="L12" s="13" t="n">
        <f aca="false">INDEX(Policy!$B$5:$B$9,MATCH(D12,Policy!$A$5:$A$9,0))+INDEX(Policy!$C$13:$C$17,MATCH(G12,Policy!$A$13:$A$17,1))</f>
        <v>0.115</v>
      </c>
      <c r="M12" s="14" t="n">
        <f aca="false">PMT(L12/12,I12*12,-H12)</f>
        <v>7494.45044778869</v>
      </c>
      <c r="N12" s="15" t="n">
        <f aca="false">(M12+J12)/F12</f>
        <v>0.0861431085952723</v>
      </c>
      <c r="O12" s="14" t="n">
        <f aca="false">MAX(0,ROUND(PV(L12/12,I12*12,-(INDEX(Policy!$D$5:$D$9,MATCH(D12,Policy!$A$5:$A$9,0))*F12-J12)),-4))</f>
        <v>840000</v>
      </c>
      <c r="P12" s="9" t="str">
        <f aca="false">IF(G12&lt;INDEX(Policy!$E$5:$E$9,MATCH(D12,Policy!$A$5:$A$9,0)),"Reject - Low Score",IF(E12+I12&gt;Policy!$B$20,"Reject - Age",IF(I12&gt;INDEX(Policy!$C$5:$C$9,MATCH(D12,Policy!$A$5:$A$9,0)),"Reject - Tenure",IF(N12&lt;=INDEX(Policy!$D$5:$D$9,MATCH(D12,Policy!$A$5:$A$9,0)),"Approve",IF(N12&lt;=INDEX(Policy!$D$5:$D$9,MATCH(D12,Policy!$A$5:$A$9,0))+Policy!$B$21,"Refer to Manager","Reject - High FOIR")))))</f>
        <v>Approve</v>
      </c>
    </row>
    <row r="13" customFormat="false" ht="15" hidden="false" customHeight="false" outlineLevel="0" collapsed="false">
      <c r="A13" s="9" t="s">
        <v>60</v>
      </c>
      <c r="B13" s="9" t="s">
        <v>61</v>
      </c>
      <c r="C13" s="9" t="s">
        <v>51</v>
      </c>
      <c r="D13" s="9" t="s">
        <v>30</v>
      </c>
      <c r="E13" s="11" t="n">
        <v>30</v>
      </c>
      <c r="F13" s="12" t="n">
        <v>67000</v>
      </c>
      <c r="G13" s="11" t="n">
        <v>651</v>
      </c>
      <c r="H13" s="12" t="n">
        <v>540000</v>
      </c>
      <c r="I13" s="11" t="n">
        <v>5</v>
      </c>
      <c r="J13" s="12" t="n">
        <v>4500</v>
      </c>
      <c r="K13" s="9" t="str">
        <f aca="false">INDEX(Policy!$B$13:$B$17,MATCH(G13,Policy!$A$13:$A$17,1))</f>
        <v>Fair</v>
      </c>
      <c r="L13" s="13" t="n">
        <f aca="false">INDEX(Policy!$B$5:$B$9,MATCH(D13,Policy!$A$5:$A$9,0))+INDEX(Policy!$C$13:$C$17,MATCH(G13,Policy!$A$13:$A$17,1))</f>
        <v>0.1075</v>
      </c>
      <c r="M13" s="14" t="n">
        <f aca="false">PMT(L13/12,I13*12,-H13)</f>
        <v>11673.6949879687</v>
      </c>
      <c r="N13" s="15" t="n">
        <f aca="false">(M13+J13)/F13</f>
        <v>0.241398432656249</v>
      </c>
      <c r="O13" s="14" t="n">
        <f aca="false">MAX(0,ROUND(PV(L13/12,I13*12,-(INDEX(Policy!$D$5:$D$9,MATCH(D13,Policy!$A$5:$A$9,0))*F13-J13)),-4))</f>
        <v>1340000</v>
      </c>
      <c r="P13" s="9" t="str">
        <f aca="false">IF(G13&lt;INDEX(Policy!$E$5:$E$9,MATCH(D13,Policy!$A$5:$A$9,0)),"Reject - Low Score",IF(E13+I13&gt;Policy!$B$20,"Reject - Age",IF(I13&gt;INDEX(Policy!$C$5:$C$9,MATCH(D13,Policy!$A$5:$A$9,0)),"Reject - Tenure",IF(N13&lt;=INDEX(Policy!$D$5:$D$9,MATCH(D13,Policy!$A$5:$A$9,0)),"Approve",IF(N13&lt;=INDEX(Policy!$D$5:$D$9,MATCH(D13,Policy!$A$5:$A$9,0))+Policy!$B$21,"Refer to Manager","Reject - High FOIR")))))</f>
        <v>Reject - Low Score</v>
      </c>
    </row>
    <row r="14" customFormat="false" ht="15" hidden="false" customHeight="false" outlineLevel="0" collapsed="false">
      <c r="A14" s="9" t="s">
        <v>62</v>
      </c>
      <c r="B14" s="9" t="s">
        <v>63</v>
      </c>
      <c r="C14" s="9" t="s">
        <v>36</v>
      </c>
      <c r="D14" s="9" t="s">
        <v>37</v>
      </c>
      <c r="E14" s="11" t="n">
        <v>35</v>
      </c>
      <c r="F14" s="12" t="n">
        <v>41000</v>
      </c>
      <c r="G14" s="11" t="n">
        <v>788</v>
      </c>
      <c r="H14" s="12" t="n">
        <v>760000</v>
      </c>
      <c r="I14" s="11" t="n">
        <v>25</v>
      </c>
      <c r="J14" s="12" t="n">
        <v>4500</v>
      </c>
      <c r="K14" s="9" t="str">
        <f aca="false">INDEX(Policy!$B$13:$B$17,MATCH(G14,Policy!$A$13:$A$17,1))</f>
        <v>Very Good</v>
      </c>
      <c r="L14" s="13" t="n">
        <f aca="false">INDEX(Policy!$B$5:$B$9,MATCH(D14,Policy!$A$5:$A$9,0))+INDEX(Policy!$C$13:$C$17,MATCH(G14,Policy!$A$13:$A$17,1))</f>
        <v>0.09</v>
      </c>
      <c r="M14" s="14" t="n">
        <f aca="false">PMT(L14/12,I14*12,-H14)</f>
        <v>6377.89236362481</v>
      </c>
      <c r="N14" s="15" t="n">
        <f aca="false">(M14+J14)/F14</f>
        <v>0.265314447893288</v>
      </c>
      <c r="O14" s="14" t="n">
        <f aca="false">MAX(0,ROUND(PV(L14/12,I14*12,-(INDEX(Policy!$D$5:$D$9,MATCH(D14,Policy!$A$5:$A$9,0))*F14-J14)),-4))</f>
        <v>1910000</v>
      </c>
      <c r="P14" s="9" t="str">
        <f aca="false">IF(G14&lt;INDEX(Policy!$E$5:$E$9,MATCH(D14,Policy!$A$5:$A$9,0)),"Reject - Low Score",IF(E14+I14&gt;Policy!$B$20,"Reject - Age",IF(I14&gt;INDEX(Policy!$C$5:$C$9,MATCH(D14,Policy!$A$5:$A$9,0)),"Reject - Tenure",IF(N14&lt;=INDEX(Policy!$D$5:$D$9,MATCH(D14,Policy!$A$5:$A$9,0)),"Approve",IF(N14&lt;=INDEX(Policy!$D$5:$D$9,MATCH(D14,Policy!$A$5:$A$9,0))+Policy!$B$21,"Refer to Manager","Reject - High FOIR")))))</f>
        <v>Approve</v>
      </c>
    </row>
    <row r="15" customFormat="false" ht="15" hidden="false" customHeight="false" outlineLevel="0" collapsed="false">
      <c r="A15" s="9" t="s">
        <v>64</v>
      </c>
      <c r="B15" s="9" t="s">
        <v>65</v>
      </c>
      <c r="C15" s="9" t="s">
        <v>44</v>
      </c>
      <c r="D15" s="9" t="s">
        <v>66</v>
      </c>
      <c r="E15" s="11" t="n">
        <v>50</v>
      </c>
      <c r="F15" s="12" t="n">
        <v>73000</v>
      </c>
      <c r="G15" s="11" t="n">
        <v>694</v>
      </c>
      <c r="H15" s="12" t="n">
        <v>440000</v>
      </c>
      <c r="I15" s="11" t="n">
        <v>7</v>
      </c>
      <c r="J15" s="12" t="n">
        <v>8500</v>
      </c>
      <c r="K15" s="9" t="str">
        <f aca="false">INDEX(Policy!$B$13:$B$17,MATCH(G15,Policy!$A$13:$A$17,1))</f>
        <v>Fair</v>
      </c>
      <c r="L15" s="13" t="n">
        <f aca="false">INDEX(Policy!$B$5:$B$9,MATCH(D15,Policy!$A$5:$A$9,0))+INDEX(Policy!$C$13:$C$17,MATCH(G15,Policy!$A$13:$A$17,1))</f>
        <v>0.11</v>
      </c>
      <c r="M15" s="14" t="n">
        <f aca="false">PMT(L15/12,I15*12,-H15)</f>
        <v>7533.87203135545</v>
      </c>
      <c r="N15" s="15" t="n">
        <f aca="false">(M15+J15)/F15</f>
        <v>0.219642082621308</v>
      </c>
      <c r="O15" s="14" t="n">
        <f aca="false">MAX(0,ROUND(PV(L15/12,I15*12,-(INDEX(Policy!$D$5:$D$9,MATCH(D15,Policy!$A$5:$A$9,0))*F15-J15)),-4))</f>
        <v>1850000</v>
      </c>
      <c r="P15" s="9" t="str">
        <f aca="false">IF(G15&lt;INDEX(Policy!$E$5:$E$9,MATCH(D15,Policy!$A$5:$A$9,0)),"Reject - Low Score",IF(E15+I15&gt;Policy!$B$20,"Reject - Age",IF(I15&gt;INDEX(Policy!$C$5:$C$9,MATCH(D15,Policy!$A$5:$A$9,0)),"Reject - Tenure",IF(N15&lt;=INDEX(Policy!$D$5:$D$9,MATCH(D15,Policy!$A$5:$A$9,0)),"Approve",IF(N15&lt;=INDEX(Policy!$D$5:$D$9,MATCH(D15,Policy!$A$5:$A$9,0))+Policy!$B$21,"Refer to Manager","Reject - High FOIR")))))</f>
        <v>Approve</v>
      </c>
    </row>
    <row r="16" customFormat="false" ht="15" hidden="false" customHeight="false" outlineLevel="0" collapsed="false">
      <c r="A16" s="9" t="s">
        <v>67</v>
      </c>
      <c r="B16" s="9" t="s">
        <v>68</v>
      </c>
      <c r="C16" s="9" t="s">
        <v>44</v>
      </c>
      <c r="D16" s="9" t="s">
        <v>30</v>
      </c>
      <c r="E16" s="11" t="n">
        <v>35</v>
      </c>
      <c r="F16" s="12" t="n">
        <v>106000</v>
      </c>
      <c r="G16" s="11" t="n">
        <v>820</v>
      </c>
      <c r="H16" s="12" t="n">
        <v>870000</v>
      </c>
      <c r="I16" s="11" t="n">
        <v>4</v>
      </c>
      <c r="J16" s="12" t="n">
        <v>31000</v>
      </c>
      <c r="K16" s="9" t="str">
        <f aca="false">INDEX(Policy!$B$13:$B$17,MATCH(G16,Policy!$A$13:$A$17,1))</f>
        <v>Excellent</v>
      </c>
      <c r="L16" s="13" t="n">
        <f aca="false">INDEX(Policy!$B$5:$B$9,MATCH(D16,Policy!$A$5:$A$9,0))+INDEX(Policy!$C$13:$C$17,MATCH(G16,Policy!$A$13:$A$17,1))</f>
        <v>0.0925</v>
      </c>
      <c r="M16" s="14" t="n">
        <f aca="false">PMT(L16/12,I16*12,-H16)</f>
        <v>21753.4106486674</v>
      </c>
      <c r="N16" s="15" t="n">
        <f aca="false">(M16+J16)/F16</f>
        <v>0.497673685364787</v>
      </c>
      <c r="O16" s="14" t="n">
        <f aca="false">MAX(0,ROUND(PV(L16/12,I16*12,-(INDEX(Policy!$D$5:$D$9,MATCH(D16,Policy!$A$5:$A$9,0))*F16-J16)),-4))</f>
        <v>880000</v>
      </c>
      <c r="P16" s="9" t="str">
        <f aca="false">IF(G16&lt;INDEX(Policy!$E$5:$E$9,MATCH(D16,Policy!$A$5:$A$9,0)),"Reject - Low Score",IF(E16+I16&gt;Policy!$B$20,"Reject - Age",IF(I16&gt;INDEX(Policy!$C$5:$C$9,MATCH(D16,Policy!$A$5:$A$9,0)),"Reject - Tenure",IF(N16&lt;=INDEX(Policy!$D$5:$D$9,MATCH(D16,Policy!$A$5:$A$9,0)),"Approve",IF(N16&lt;=INDEX(Policy!$D$5:$D$9,MATCH(D16,Policy!$A$5:$A$9,0))+Policy!$B$21,"Refer to Manager","Reject - High FOIR")))))</f>
        <v>Approve</v>
      </c>
    </row>
    <row r="17" customFormat="false" ht="15" hidden="false" customHeight="false" outlineLevel="0" collapsed="false">
      <c r="A17" s="9" t="s">
        <v>69</v>
      </c>
      <c r="B17" s="9" t="s">
        <v>70</v>
      </c>
      <c r="C17" s="9" t="s">
        <v>71</v>
      </c>
      <c r="D17" s="9" t="s">
        <v>30</v>
      </c>
      <c r="E17" s="11" t="n">
        <v>49</v>
      </c>
      <c r="F17" s="12" t="n">
        <v>25000</v>
      </c>
      <c r="G17" s="11" t="n">
        <v>792</v>
      </c>
      <c r="H17" s="12" t="n">
        <v>260000</v>
      </c>
      <c r="I17" s="11" t="n">
        <v>4</v>
      </c>
      <c r="J17" s="12" t="n">
        <v>0</v>
      </c>
      <c r="K17" s="9" t="str">
        <f aca="false">INDEX(Policy!$B$13:$B$17,MATCH(G17,Policy!$A$13:$A$17,1))</f>
        <v>Very Good</v>
      </c>
      <c r="L17" s="13" t="n">
        <f aca="false">INDEX(Policy!$B$5:$B$9,MATCH(D17,Policy!$A$5:$A$9,0))+INDEX(Policy!$C$13:$C$17,MATCH(G17,Policy!$A$13:$A$17,1))</f>
        <v>0.095</v>
      </c>
      <c r="M17" s="14" t="n">
        <f aca="false">PMT(L17/12,I17*12,-H17)</f>
        <v>6532.01553444328</v>
      </c>
      <c r="N17" s="15" t="n">
        <f aca="false">(M17+J17)/F17</f>
        <v>0.261280621377731</v>
      </c>
      <c r="O17" s="14" t="n">
        <f aca="false">MAX(0,ROUND(PV(L17/12,I17*12,-(INDEX(Policy!$D$5:$D$9,MATCH(D17,Policy!$A$5:$A$9,0))*F17-J17)),-4))</f>
        <v>500000</v>
      </c>
      <c r="P17" s="9" t="str">
        <f aca="false">IF(G17&lt;INDEX(Policy!$E$5:$E$9,MATCH(D17,Policy!$A$5:$A$9,0)),"Reject - Low Score",IF(E17+I17&gt;Policy!$B$20,"Reject - Age",IF(I17&gt;INDEX(Policy!$C$5:$C$9,MATCH(D17,Policy!$A$5:$A$9,0)),"Reject - Tenure",IF(N17&lt;=INDEX(Policy!$D$5:$D$9,MATCH(D17,Policy!$A$5:$A$9,0)),"Approve",IF(N17&lt;=INDEX(Policy!$D$5:$D$9,MATCH(D17,Policy!$A$5:$A$9,0))+Policy!$B$21,"Refer to Manager","Reject - High FOIR")))))</f>
        <v>Approve</v>
      </c>
    </row>
    <row r="18" customFormat="false" ht="15" hidden="false" customHeight="false" outlineLevel="0" collapsed="false">
      <c r="A18" s="9" t="s">
        <v>72</v>
      </c>
      <c r="B18" s="9" t="s">
        <v>73</v>
      </c>
      <c r="C18" s="9" t="s">
        <v>71</v>
      </c>
      <c r="D18" s="9" t="s">
        <v>37</v>
      </c>
      <c r="E18" s="11" t="n">
        <v>35</v>
      </c>
      <c r="F18" s="12" t="n">
        <v>73000</v>
      </c>
      <c r="G18" s="11" t="n">
        <v>755</v>
      </c>
      <c r="H18" s="12" t="n">
        <v>3130000</v>
      </c>
      <c r="I18" s="11" t="n">
        <v>20</v>
      </c>
      <c r="J18" s="12" t="n">
        <v>15500</v>
      </c>
      <c r="K18" s="9" t="str">
        <f aca="false">INDEX(Policy!$B$13:$B$17,MATCH(G18,Policy!$A$13:$A$17,1))</f>
        <v>Very Good</v>
      </c>
      <c r="L18" s="13" t="n">
        <f aca="false">INDEX(Policy!$B$5:$B$9,MATCH(D18,Policy!$A$5:$A$9,0))+INDEX(Policy!$C$13:$C$17,MATCH(G18,Policy!$A$13:$A$17,1))</f>
        <v>0.09</v>
      </c>
      <c r="M18" s="14" t="n">
        <f aca="false">PMT(L18/12,I18*12,-H18)</f>
        <v>28161.4224181104</v>
      </c>
      <c r="N18" s="15" t="n">
        <f aca="false">(M18+J18)/F18</f>
        <v>0.598101676960417</v>
      </c>
      <c r="O18" s="14" t="n">
        <f aca="false">MAX(0,ROUND(PV(L18/12,I18*12,-(INDEX(Policy!$D$5:$D$9,MATCH(D18,Policy!$A$5:$A$9,0))*F18-J18)),-4))</f>
        <v>2330000</v>
      </c>
      <c r="P18" s="9" t="str">
        <f aca="false">IF(G18&lt;INDEX(Policy!$E$5:$E$9,MATCH(D18,Policy!$A$5:$A$9,0)),"Reject - Low Score",IF(E18+I18&gt;Policy!$B$20,"Reject - Age",IF(I18&gt;INDEX(Policy!$C$5:$C$9,MATCH(D18,Policy!$A$5:$A$9,0)),"Reject - Tenure",IF(N18&lt;=INDEX(Policy!$D$5:$D$9,MATCH(D18,Policy!$A$5:$A$9,0)),"Approve",IF(N18&lt;=INDEX(Policy!$D$5:$D$9,MATCH(D18,Policy!$A$5:$A$9,0))+Policy!$B$21,"Refer to Manager","Reject - High FOIR")))))</f>
        <v>Reject - High FOIR</v>
      </c>
    </row>
    <row r="19" customFormat="false" ht="15" hidden="false" customHeight="false" outlineLevel="0" collapsed="false">
      <c r="A19" s="9" t="s">
        <v>74</v>
      </c>
      <c r="B19" s="9" t="s">
        <v>75</v>
      </c>
      <c r="C19" s="9" t="s">
        <v>59</v>
      </c>
      <c r="D19" s="9" t="s">
        <v>33</v>
      </c>
      <c r="E19" s="11" t="n">
        <v>43</v>
      </c>
      <c r="F19" s="12" t="n">
        <v>63000</v>
      </c>
      <c r="G19" s="11" t="n">
        <v>689</v>
      </c>
      <c r="H19" s="12" t="n">
        <v>630000</v>
      </c>
      <c r="I19" s="11" t="n">
        <v>3</v>
      </c>
      <c r="J19" s="12" t="n">
        <v>6500</v>
      </c>
      <c r="K19" s="9" t="str">
        <f aca="false">INDEX(Policy!$B$13:$B$17,MATCH(G19,Policy!$A$13:$A$17,1))</f>
        <v>Fair</v>
      </c>
      <c r="L19" s="13" t="n">
        <f aca="false">INDEX(Policy!$B$5:$B$9,MATCH(D19,Policy!$A$5:$A$9,0))+INDEX(Policy!$C$13:$C$17,MATCH(G19,Policy!$A$13:$A$17,1))</f>
        <v>0.135</v>
      </c>
      <c r="M19" s="14" t="n">
        <f aca="false">PMT(L19/12,I19*12,-H19)</f>
        <v>21379.231018518</v>
      </c>
      <c r="N19" s="15" t="n">
        <f aca="false">(M19+J19)/F19</f>
        <v>0.442527476484413</v>
      </c>
      <c r="O19" s="14" t="n">
        <f aca="false">MAX(0,ROUND(PV(L19/12,I19*12,-(INDEX(Policy!$D$5:$D$9,MATCH(D19,Policy!$A$5:$A$9,0))*F19-J19)),-4))</f>
        <v>740000</v>
      </c>
      <c r="P19" s="9" t="str">
        <f aca="false">IF(G19&lt;INDEX(Policy!$E$5:$E$9,MATCH(D19,Policy!$A$5:$A$9,0)),"Reject - Low Score",IF(E19+I19&gt;Policy!$B$20,"Reject - Age",IF(I19&gt;INDEX(Policy!$C$5:$C$9,MATCH(D19,Policy!$A$5:$A$9,0)),"Reject - Tenure",IF(N19&lt;=INDEX(Policy!$D$5:$D$9,MATCH(D19,Policy!$A$5:$A$9,0)),"Approve",IF(N19&lt;=INDEX(Policy!$D$5:$D$9,MATCH(D19,Policy!$A$5:$A$9,0))+Policy!$B$21,"Refer to Manager","Reject - High FOIR")))))</f>
        <v>Reject - Low Score</v>
      </c>
    </row>
    <row r="20" customFormat="false" ht="15" hidden="false" customHeight="false" outlineLevel="0" collapsed="false">
      <c r="A20" s="9" t="s">
        <v>76</v>
      </c>
      <c r="B20" s="9" t="s">
        <v>77</v>
      </c>
      <c r="C20" s="9" t="s">
        <v>59</v>
      </c>
      <c r="D20" s="9" t="s">
        <v>66</v>
      </c>
      <c r="E20" s="11" t="n">
        <v>47</v>
      </c>
      <c r="F20" s="12" t="n">
        <v>117000</v>
      </c>
      <c r="G20" s="11" t="n">
        <v>752</v>
      </c>
      <c r="H20" s="12" t="n">
        <v>830000</v>
      </c>
      <c r="I20" s="11" t="n">
        <v>15</v>
      </c>
      <c r="J20" s="12" t="n">
        <v>0</v>
      </c>
      <c r="K20" s="9" t="str">
        <f aca="false">INDEX(Policy!$B$13:$B$17,MATCH(G20,Policy!$A$13:$A$17,1))</f>
        <v>Very Good</v>
      </c>
      <c r="L20" s="13" t="n">
        <f aca="false">INDEX(Policy!$B$5:$B$9,MATCH(D20,Policy!$A$5:$A$9,0))+INDEX(Policy!$C$13:$C$17,MATCH(G20,Policy!$A$13:$A$17,1))</f>
        <v>0.0975</v>
      </c>
      <c r="M20" s="14" t="n">
        <f aca="false">PMT(L20/12,I20*12,-H20)</f>
        <v>8792.71010740488</v>
      </c>
      <c r="N20" s="15" t="n">
        <f aca="false">(M20+J20)/F20</f>
        <v>0.0751513684393579</v>
      </c>
      <c r="O20" s="14" t="n">
        <f aca="false">MAX(0,ROUND(PV(L20/12,I20*12,-(INDEX(Policy!$D$5:$D$9,MATCH(D20,Policy!$A$5:$A$9,0))*F20-J20)),-4))</f>
        <v>6070000</v>
      </c>
      <c r="P20" s="9" t="str">
        <f aca="false">IF(G20&lt;INDEX(Policy!$E$5:$E$9,MATCH(D20,Policy!$A$5:$A$9,0)),"Reject - Low Score",IF(E20+I20&gt;Policy!$B$20,"Reject - Age",IF(I20&gt;INDEX(Policy!$C$5:$C$9,MATCH(D20,Policy!$A$5:$A$9,0)),"Reject - Tenure",IF(N20&lt;=INDEX(Policy!$D$5:$D$9,MATCH(D20,Policy!$A$5:$A$9,0)),"Approve",IF(N20&lt;=INDEX(Policy!$D$5:$D$9,MATCH(D20,Policy!$A$5:$A$9,0))+Policy!$B$21,"Refer to Manager","Reject - High FOIR")))))</f>
        <v>Approve</v>
      </c>
    </row>
    <row r="21" customFormat="false" ht="15" hidden="false" customHeight="false" outlineLevel="0" collapsed="false">
      <c r="A21" s="9" t="s">
        <v>78</v>
      </c>
      <c r="B21" s="9" t="s">
        <v>79</v>
      </c>
      <c r="C21" s="9" t="s">
        <v>80</v>
      </c>
      <c r="D21" s="9" t="s">
        <v>41</v>
      </c>
      <c r="E21" s="11" t="n">
        <v>49</v>
      </c>
      <c r="F21" s="12" t="n">
        <v>52000</v>
      </c>
      <c r="G21" s="11" t="n">
        <v>700</v>
      </c>
      <c r="H21" s="12" t="n">
        <v>100000</v>
      </c>
      <c r="I21" s="11" t="n">
        <v>3</v>
      </c>
      <c r="J21" s="12" t="n">
        <v>0</v>
      </c>
      <c r="K21" s="9" t="str">
        <f aca="false">INDEX(Policy!$B$13:$B$17,MATCH(G21,Policy!$A$13:$A$17,1))</f>
        <v>Good</v>
      </c>
      <c r="L21" s="13" t="n">
        <f aca="false">INDEX(Policy!$B$5:$B$9,MATCH(D21,Policy!$A$5:$A$9,0))+INDEX(Policy!$C$13:$C$17,MATCH(G21,Policy!$A$13:$A$17,1))</f>
        <v>0.1225</v>
      </c>
      <c r="M21" s="14" t="n">
        <f aca="false">PMT(L21/12,I21*12,-H21)</f>
        <v>3333.38412534226</v>
      </c>
      <c r="N21" s="15" t="n">
        <f aca="false">(M21+J21)/F21</f>
        <v>0.0641035408719665</v>
      </c>
      <c r="O21" s="14" t="n">
        <f aca="false">MAX(0,ROUND(PV(L21/12,I21*12,-(INDEX(Policy!$D$5:$D$9,MATCH(D21,Policy!$A$5:$A$9,0))*F21-J21)),-4))</f>
        <v>700000</v>
      </c>
      <c r="P21" s="9" t="str">
        <f aca="false">IF(G21&lt;INDEX(Policy!$E$5:$E$9,MATCH(D21,Policy!$A$5:$A$9,0)),"Reject - Low Score",IF(E21+I21&gt;Policy!$B$20,"Reject - Age",IF(I21&gt;INDEX(Policy!$C$5:$C$9,MATCH(D21,Policy!$A$5:$A$9,0)),"Reject - Tenure",IF(N21&lt;=INDEX(Policy!$D$5:$D$9,MATCH(D21,Policy!$A$5:$A$9,0)),"Approve",IF(N21&lt;=INDEX(Policy!$D$5:$D$9,MATCH(D21,Policy!$A$5:$A$9,0))+Policy!$B$21,"Refer to Manager","Reject - High FOIR")))))</f>
        <v>Reject - Low Score</v>
      </c>
    </row>
    <row r="22" customFormat="false" ht="15" hidden="false" customHeight="false" outlineLevel="0" collapsed="false">
      <c r="A22" s="9" t="s">
        <v>81</v>
      </c>
      <c r="B22" s="9" t="s">
        <v>82</v>
      </c>
      <c r="C22" s="9" t="s">
        <v>59</v>
      </c>
      <c r="D22" s="9" t="s">
        <v>41</v>
      </c>
      <c r="E22" s="11" t="n">
        <v>40</v>
      </c>
      <c r="F22" s="12" t="n">
        <v>54000</v>
      </c>
      <c r="G22" s="11" t="n">
        <v>869</v>
      </c>
      <c r="H22" s="12" t="n">
        <v>100000</v>
      </c>
      <c r="I22" s="11" t="n">
        <v>3</v>
      </c>
      <c r="J22" s="12" t="n">
        <v>0</v>
      </c>
      <c r="K22" s="9" t="str">
        <f aca="false">INDEX(Policy!$B$13:$B$17,MATCH(G22,Policy!$A$13:$A$17,1))</f>
        <v>Excellent</v>
      </c>
      <c r="L22" s="13" t="n">
        <f aca="false">INDEX(Policy!$B$5:$B$9,MATCH(D22,Policy!$A$5:$A$9,0))+INDEX(Policy!$C$13:$C$17,MATCH(G22,Policy!$A$13:$A$17,1))</f>
        <v>0.115</v>
      </c>
      <c r="M22" s="14" t="n">
        <f aca="false">PMT(L22/12,I22*12,-H22)</f>
        <v>3297.60064328251</v>
      </c>
      <c r="N22" s="15" t="n">
        <f aca="false">(M22+J22)/F22</f>
        <v>0.0610666785793057</v>
      </c>
      <c r="O22" s="14" t="n">
        <f aca="false">MAX(0,ROUND(PV(L22/12,I22*12,-(INDEX(Policy!$D$5:$D$9,MATCH(D22,Policy!$A$5:$A$9,0))*F22-J22)),-4))</f>
        <v>740000</v>
      </c>
      <c r="P22" s="9" t="str">
        <f aca="false">IF(G22&lt;INDEX(Policy!$E$5:$E$9,MATCH(D22,Policy!$A$5:$A$9,0)),"Reject - Low Score",IF(E22+I22&gt;Policy!$B$20,"Reject - Age",IF(I22&gt;INDEX(Policy!$C$5:$C$9,MATCH(D22,Policy!$A$5:$A$9,0)),"Reject - Tenure",IF(N22&lt;=INDEX(Policy!$D$5:$D$9,MATCH(D22,Policy!$A$5:$A$9,0)),"Approve",IF(N22&lt;=INDEX(Policy!$D$5:$D$9,MATCH(D22,Policy!$A$5:$A$9,0))+Policy!$B$21,"Refer to Manager","Reject - High FOIR")))))</f>
        <v>Approve</v>
      </c>
    </row>
    <row r="23" customFormat="false" ht="15" hidden="false" customHeight="false" outlineLevel="0" collapsed="false">
      <c r="A23" s="9" t="s">
        <v>83</v>
      </c>
      <c r="B23" s="9" t="s">
        <v>84</v>
      </c>
      <c r="C23" s="9" t="s">
        <v>54</v>
      </c>
      <c r="D23" s="9" t="s">
        <v>66</v>
      </c>
      <c r="E23" s="11" t="n">
        <v>32</v>
      </c>
      <c r="F23" s="12" t="n">
        <v>52000</v>
      </c>
      <c r="G23" s="11" t="n">
        <v>753</v>
      </c>
      <c r="H23" s="12" t="n">
        <v>450000</v>
      </c>
      <c r="I23" s="11" t="n">
        <v>15</v>
      </c>
      <c r="J23" s="12" t="n">
        <v>10500</v>
      </c>
      <c r="K23" s="9" t="str">
        <f aca="false">INDEX(Policy!$B$13:$B$17,MATCH(G23,Policy!$A$13:$A$17,1))</f>
        <v>Very Good</v>
      </c>
      <c r="L23" s="13" t="n">
        <f aca="false">INDEX(Policy!$B$5:$B$9,MATCH(D23,Policy!$A$5:$A$9,0))+INDEX(Policy!$C$13:$C$17,MATCH(G23,Policy!$A$13:$A$17,1))</f>
        <v>0.0975</v>
      </c>
      <c r="M23" s="14" t="n">
        <f aca="false">PMT(L23/12,I23*12,-H23)</f>
        <v>4767.1319859424</v>
      </c>
      <c r="N23" s="15" t="n">
        <f aca="false">(M23+J23)/F23</f>
        <v>0.293598692037354</v>
      </c>
      <c r="O23" s="14" t="n">
        <f aca="false">MAX(0,ROUND(PV(L23/12,I23*12,-(INDEX(Policy!$D$5:$D$9,MATCH(D23,Policy!$A$5:$A$9,0))*F23-J23)),-4))</f>
        <v>1710000</v>
      </c>
      <c r="P23" s="9" t="str">
        <f aca="false">IF(G23&lt;INDEX(Policy!$E$5:$E$9,MATCH(D23,Policy!$A$5:$A$9,0)),"Reject - Low Score",IF(E23+I23&gt;Policy!$B$20,"Reject - Age",IF(I23&gt;INDEX(Policy!$C$5:$C$9,MATCH(D23,Policy!$A$5:$A$9,0)),"Reject - Tenure",IF(N23&lt;=INDEX(Policy!$D$5:$D$9,MATCH(D23,Policy!$A$5:$A$9,0)),"Approve",IF(N23&lt;=INDEX(Policy!$D$5:$D$9,MATCH(D23,Policy!$A$5:$A$9,0))+Policy!$B$21,"Refer to Manager","Reject - High FOIR")))))</f>
        <v>Approve</v>
      </c>
    </row>
    <row r="24" customFormat="false" ht="15" hidden="false" customHeight="false" outlineLevel="0" collapsed="false">
      <c r="A24" s="9" t="s">
        <v>85</v>
      </c>
      <c r="B24" s="9" t="s">
        <v>86</v>
      </c>
      <c r="C24" s="9" t="s">
        <v>54</v>
      </c>
      <c r="D24" s="9" t="s">
        <v>33</v>
      </c>
      <c r="E24" s="11" t="n">
        <v>40</v>
      </c>
      <c r="F24" s="12" t="n">
        <v>171000</v>
      </c>
      <c r="G24" s="11" t="n">
        <v>787</v>
      </c>
      <c r="H24" s="12" t="n">
        <v>2610000</v>
      </c>
      <c r="I24" s="11" t="n">
        <v>3</v>
      </c>
      <c r="J24" s="12" t="n">
        <v>15500</v>
      </c>
      <c r="K24" s="9" t="str">
        <f aca="false">INDEX(Policy!$B$13:$B$17,MATCH(G24,Policy!$A$13:$A$17,1))</f>
        <v>Very Good</v>
      </c>
      <c r="L24" s="13" t="n">
        <f aca="false">INDEX(Policy!$B$5:$B$9,MATCH(D24,Policy!$A$5:$A$9,0))+INDEX(Policy!$C$13:$C$17,MATCH(G24,Policy!$A$13:$A$17,1))</f>
        <v>0.1225</v>
      </c>
      <c r="M24" s="14" t="n">
        <f aca="false">PMT(L24/12,I24*12,-H24)</f>
        <v>87001.3256714329</v>
      </c>
      <c r="N24" s="15" t="n">
        <f aca="false">(M24+J24)/F24</f>
        <v>0.599422957142883</v>
      </c>
      <c r="O24" s="14" t="n">
        <f aca="false">MAX(0,ROUND(PV(L24/12,I24*12,-(INDEX(Policy!$D$5:$D$9,MATCH(D24,Policy!$A$5:$A$9,0))*F24-J24)),-4))</f>
        <v>2100000</v>
      </c>
      <c r="P24" s="9" t="str">
        <f aca="false">IF(G24&lt;INDEX(Policy!$E$5:$E$9,MATCH(D24,Policy!$A$5:$A$9,0)),"Reject - Low Score",IF(E24+I24&gt;Policy!$B$20,"Reject - Age",IF(I24&gt;INDEX(Policy!$C$5:$C$9,MATCH(D24,Policy!$A$5:$A$9,0)),"Reject - Tenure",IF(N24&lt;=INDEX(Policy!$D$5:$D$9,MATCH(D24,Policy!$A$5:$A$9,0)),"Approve",IF(N24&lt;=INDEX(Policy!$D$5:$D$9,MATCH(D24,Policy!$A$5:$A$9,0))+Policy!$B$21,"Refer to Manager","Reject - High FOIR")))))</f>
        <v>Reject - High FOIR</v>
      </c>
    </row>
    <row r="25" customFormat="false" ht="15" hidden="false" customHeight="false" outlineLevel="0" collapsed="false">
      <c r="A25" s="9" t="s">
        <v>87</v>
      </c>
      <c r="B25" s="9" t="s">
        <v>88</v>
      </c>
      <c r="C25" s="9" t="s">
        <v>29</v>
      </c>
      <c r="D25" s="9" t="s">
        <v>41</v>
      </c>
      <c r="E25" s="11" t="n">
        <v>27</v>
      </c>
      <c r="F25" s="12" t="n">
        <v>101000</v>
      </c>
      <c r="G25" s="11" t="n">
        <v>654</v>
      </c>
      <c r="H25" s="12" t="n">
        <v>190000</v>
      </c>
      <c r="I25" s="11" t="n">
        <v>5</v>
      </c>
      <c r="J25" s="12" t="n">
        <v>0</v>
      </c>
      <c r="K25" s="9" t="str">
        <f aca="false">INDEX(Policy!$B$13:$B$17,MATCH(G25,Policy!$A$13:$A$17,1))</f>
        <v>Fair</v>
      </c>
      <c r="L25" s="13" t="n">
        <f aca="false">INDEX(Policy!$B$5:$B$9,MATCH(D25,Policy!$A$5:$A$9,0))+INDEX(Policy!$C$13:$C$17,MATCH(G25,Policy!$A$13:$A$17,1))</f>
        <v>0.13</v>
      </c>
      <c r="M25" s="14" t="n">
        <f aca="false">PMT(L25/12,I25*12,-H25)</f>
        <v>4323.08387840256</v>
      </c>
      <c r="N25" s="15" t="n">
        <f aca="false">(M25+J25)/F25</f>
        <v>0.0428028106772531</v>
      </c>
      <c r="O25" s="14" t="n">
        <f aca="false">MAX(0,ROUND(PV(L25/12,I25*12,-(INDEX(Policy!$D$5:$D$9,MATCH(D25,Policy!$A$5:$A$9,0))*F25-J25)),-4))</f>
        <v>2000000</v>
      </c>
      <c r="P25" s="9" t="str">
        <f aca="false">IF(G25&lt;INDEX(Policy!$E$5:$E$9,MATCH(D25,Policy!$A$5:$A$9,0)),"Reject - Low Score",IF(E25+I25&gt;Policy!$B$20,"Reject - Age",IF(I25&gt;INDEX(Policy!$C$5:$C$9,MATCH(D25,Policy!$A$5:$A$9,0)),"Reject - Tenure",IF(N25&lt;=INDEX(Policy!$D$5:$D$9,MATCH(D25,Policy!$A$5:$A$9,0)),"Approve",IF(N25&lt;=INDEX(Policy!$D$5:$D$9,MATCH(D25,Policy!$A$5:$A$9,0))+Policy!$B$21,"Refer to Manager","Reject - High FOIR")))))</f>
        <v>Reject - Low Score</v>
      </c>
    </row>
    <row r="26" customFormat="false" ht="15" hidden="false" customHeight="false" outlineLevel="0" collapsed="false">
      <c r="A26" s="9" t="s">
        <v>89</v>
      </c>
      <c r="B26" s="9" t="s">
        <v>90</v>
      </c>
      <c r="C26" s="9" t="s">
        <v>29</v>
      </c>
      <c r="D26" s="9" t="s">
        <v>41</v>
      </c>
      <c r="E26" s="11" t="n">
        <v>38</v>
      </c>
      <c r="F26" s="12" t="n">
        <v>69000</v>
      </c>
      <c r="G26" s="11" t="n">
        <v>771</v>
      </c>
      <c r="H26" s="12" t="n">
        <v>410000</v>
      </c>
      <c r="I26" s="11" t="n">
        <v>5</v>
      </c>
      <c r="J26" s="12" t="n">
        <v>5000</v>
      </c>
      <c r="K26" s="9" t="str">
        <f aca="false">INDEX(Policy!$B$13:$B$17,MATCH(G26,Policy!$A$13:$A$17,1))</f>
        <v>Very Good</v>
      </c>
      <c r="L26" s="13" t="n">
        <f aca="false">INDEX(Policy!$B$5:$B$9,MATCH(D26,Policy!$A$5:$A$9,0))+INDEX(Policy!$C$13:$C$17,MATCH(G26,Policy!$A$13:$A$17,1))</f>
        <v>0.1175</v>
      </c>
      <c r="M26" s="14" t="n">
        <f aca="false">PMT(L26/12,I26*12,-H26)</f>
        <v>9068.51156320442</v>
      </c>
      <c r="N26" s="15" t="n">
        <f aca="false">(M26+J26)/F26</f>
        <v>0.203891471930499</v>
      </c>
      <c r="O26" s="14" t="n">
        <f aca="false">MAX(0,ROUND(PV(L26/12,I26*12,-(INDEX(Policy!$D$5:$D$9,MATCH(D26,Policy!$A$5:$A$9,0))*F26-J26)),-4))</f>
        <v>1180000</v>
      </c>
      <c r="P26" s="9" t="str">
        <f aca="false">IF(G26&lt;INDEX(Policy!$E$5:$E$9,MATCH(D26,Policy!$A$5:$A$9,0)),"Reject - Low Score",IF(E26+I26&gt;Policy!$B$20,"Reject - Age",IF(I26&gt;INDEX(Policy!$C$5:$C$9,MATCH(D26,Policy!$A$5:$A$9,0)),"Reject - Tenure",IF(N26&lt;=INDEX(Policy!$D$5:$D$9,MATCH(D26,Policy!$A$5:$A$9,0)),"Approve",IF(N26&lt;=INDEX(Policy!$D$5:$D$9,MATCH(D26,Policy!$A$5:$A$9,0))+Policy!$B$21,"Refer to Manager","Reject - High FOIR")))))</f>
        <v>Approve</v>
      </c>
    </row>
    <row r="27" customFormat="false" ht="15" hidden="false" customHeight="false" outlineLevel="0" collapsed="false">
      <c r="A27" s="9" t="s">
        <v>91</v>
      </c>
      <c r="B27" s="9" t="s">
        <v>92</v>
      </c>
      <c r="C27" s="9" t="s">
        <v>44</v>
      </c>
      <c r="D27" s="9" t="s">
        <v>30</v>
      </c>
      <c r="E27" s="11" t="n">
        <v>38</v>
      </c>
      <c r="F27" s="12" t="n">
        <v>92000</v>
      </c>
      <c r="G27" s="11" t="n">
        <v>752</v>
      </c>
      <c r="H27" s="12" t="n">
        <v>670000</v>
      </c>
      <c r="I27" s="11" t="n">
        <v>7</v>
      </c>
      <c r="J27" s="12" t="n">
        <v>0</v>
      </c>
      <c r="K27" s="9" t="str">
        <f aca="false">INDEX(Policy!$B$13:$B$17,MATCH(G27,Policy!$A$13:$A$17,1))</f>
        <v>Very Good</v>
      </c>
      <c r="L27" s="13" t="n">
        <f aca="false">INDEX(Policy!$B$5:$B$9,MATCH(D27,Policy!$A$5:$A$9,0))+INDEX(Policy!$C$13:$C$17,MATCH(G27,Policy!$A$13:$A$17,1))</f>
        <v>0.095</v>
      </c>
      <c r="M27" s="14" t="n">
        <f aca="false">PMT(L27/12,I27*12,-H27)</f>
        <v>10950.4677264699</v>
      </c>
      <c r="N27" s="15" t="n">
        <f aca="false">(M27+J27)/F27</f>
        <v>0.119026823113804</v>
      </c>
      <c r="O27" s="14" t="n">
        <f aca="false">MAX(0,ROUND(PV(L27/12,I27*12,-(INDEX(Policy!$D$5:$D$9,MATCH(D27,Policy!$A$5:$A$9,0))*F27-J27)),-4))</f>
        <v>2810000</v>
      </c>
      <c r="P27" s="9" t="str">
        <f aca="false">IF(G27&lt;INDEX(Policy!$E$5:$E$9,MATCH(D27,Policy!$A$5:$A$9,0)),"Reject - Low Score",IF(E27+I27&gt;Policy!$B$20,"Reject - Age",IF(I27&gt;INDEX(Policy!$C$5:$C$9,MATCH(D27,Policy!$A$5:$A$9,0)),"Reject - Tenure",IF(N27&lt;=INDEX(Policy!$D$5:$D$9,MATCH(D27,Policy!$A$5:$A$9,0)),"Approve",IF(N27&lt;=INDEX(Policy!$D$5:$D$9,MATCH(D27,Policy!$A$5:$A$9,0))+Policy!$B$21,"Refer to Manager","Reject - High FOIR")))))</f>
        <v>Approve</v>
      </c>
    </row>
    <row r="28" customFormat="false" ht="15" hidden="false" customHeight="false" outlineLevel="0" collapsed="false">
      <c r="A28" s="9" t="s">
        <v>93</v>
      </c>
      <c r="B28" s="9" t="s">
        <v>94</v>
      </c>
      <c r="C28" s="9" t="s">
        <v>29</v>
      </c>
      <c r="D28" s="9" t="s">
        <v>33</v>
      </c>
      <c r="E28" s="11" t="n">
        <v>50</v>
      </c>
      <c r="F28" s="12" t="n">
        <v>343000</v>
      </c>
      <c r="G28" s="11" t="n">
        <v>738</v>
      </c>
      <c r="H28" s="12" t="n">
        <v>7870000</v>
      </c>
      <c r="I28" s="11" t="n">
        <v>7</v>
      </c>
      <c r="J28" s="12" t="n">
        <v>0</v>
      </c>
      <c r="K28" s="9" t="str">
        <f aca="false">INDEX(Policy!$B$13:$B$17,MATCH(G28,Policy!$A$13:$A$17,1))</f>
        <v>Good</v>
      </c>
      <c r="L28" s="13" t="n">
        <f aca="false">INDEX(Policy!$B$5:$B$9,MATCH(D28,Policy!$A$5:$A$9,0))+INDEX(Policy!$C$13:$C$17,MATCH(G28,Policy!$A$13:$A$17,1))</f>
        <v>0.1275</v>
      </c>
      <c r="M28" s="14" t="n">
        <f aca="false">PMT(L28/12,I28*12,-H28)</f>
        <v>142103.272944881</v>
      </c>
      <c r="N28" s="15" t="n">
        <f aca="false">(M28+J28)/F28</f>
        <v>0.414295256399071</v>
      </c>
      <c r="O28" s="14" t="n">
        <f aca="false">MAX(0,ROUND(PV(L28/12,I28*12,-(INDEX(Policy!$D$5:$D$9,MATCH(D28,Policy!$A$5:$A$9,0))*F28-J28)),-4))</f>
        <v>9500000</v>
      </c>
      <c r="P28" s="9" t="str">
        <f aca="false">IF(G28&lt;INDEX(Policy!$E$5:$E$9,MATCH(D28,Policy!$A$5:$A$9,0)),"Reject - Low Score",IF(E28+I28&gt;Policy!$B$20,"Reject - Age",IF(I28&gt;INDEX(Policy!$C$5:$C$9,MATCH(D28,Policy!$A$5:$A$9,0)),"Reject - Tenure",IF(N28&lt;=INDEX(Policy!$D$5:$D$9,MATCH(D28,Policy!$A$5:$A$9,0)),"Approve",IF(N28&lt;=INDEX(Policy!$D$5:$D$9,MATCH(D28,Policy!$A$5:$A$9,0))+Policy!$B$21,"Refer to Manager","Reject - High FOIR")))))</f>
        <v>Approve</v>
      </c>
    </row>
    <row r="29" customFormat="false" ht="15" hidden="false" customHeight="false" outlineLevel="0" collapsed="false">
      <c r="A29" s="9" t="s">
        <v>95</v>
      </c>
      <c r="B29" s="9" t="s">
        <v>96</v>
      </c>
      <c r="C29" s="9" t="s">
        <v>54</v>
      </c>
      <c r="D29" s="9" t="s">
        <v>30</v>
      </c>
      <c r="E29" s="11" t="n">
        <v>49</v>
      </c>
      <c r="F29" s="12" t="n">
        <v>44000</v>
      </c>
      <c r="G29" s="11" t="n">
        <v>803</v>
      </c>
      <c r="H29" s="12" t="n">
        <v>180000</v>
      </c>
      <c r="I29" s="11" t="n">
        <v>3</v>
      </c>
      <c r="J29" s="12" t="n">
        <v>0</v>
      </c>
      <c r="K29" s="9" t="str">
        <f aca="false">INDEX(Policy!$B$13:$B$17,MATCH(G29,Policy!$A$13:$A$17,1))</f>
        <v>Excellent</v>
      </c>
      <c r="L29" s="13" t="n">
        <f aca="false">INDEX(Policy!$B$5:$B$9,MATCH(D29,Policy!$A$5:$A$9,0))+INDEX(Policy!$C$13:$C$17,MATCH(G29,Policy!$A$13:$A$17,1))</f>
        <v>0.0925</v>
      </c>
      <c r="M29" s="14" t="n">
        <f aca="false">PMT(L29/12,I29*12,-H29)</f>
        <v>5744.91844094894</v>
      </c>
      <c r="N29" s="15" t="n">
        <f aca="false">(M29+J29)/F29</f>
        <v>0.130566328203385</v>
      </c>
      <c r="O29" s="14" t="n">
        <f aca="false">MAX(0,ROUND(PV(L29/12,I29*12,-(INDEX(Policy!$D$5:$D$9,MATCH(D29,Policy!$A$5:$A$9,0))*F29-J29)),-4))</f>
        <v>690000</v>
      </c>
      <c r="P29" s="9" t="str">
        <f aca="false">IF(G29&lt;INDEX(Policy!$E$5:$E$9,MATCH(D29,Policy!$A$5:$A$9,0)),"Reject - Low Score",IF(E29+I29&gt;Policy!$B$20,"Reject - Age",IF(I29&gt;INDEX(Policy!$C$5:$C$9,MATCH(D29,Policy!$A$5:$A$9,0)),"Reject - Tenure",IF(N29&lt;=INDEX(Policy!$D$5:$D$9,MATCH(D29,Policy!$A$5:$A$9,0)),"Approve",IF(N29&lt;=INDEX(Policy!$D$5:$D$9,MATCH(D29,Policy!$A$5:$A$9,0))+Policy!$B$21,"Refer to Manager","Reject - High FOIR")))))</f>
        <v>Approve</v>
      </c>
    </row>
    <row r="30" customFormat="false" ht="15" hidden="false" customHeight="false" outlineLevel="0" collapsed="false">
      <c r="A30" s="9" t="s">
        <v>97</v>
      </c>
      <c r="B30" s="9" t="s">
        <v>98</v>
      </c>
      <c r="C30" s="9" t="s">
        <v>51</v>
      </c>
      <c r="D30" s="9" t="s">
        <v>37</v>
      </c>
      <c r="E30" s="11" t="n">
        <v>34</v>
      </c>
      <c r="F30" s="12" t="n">
        <v>62000</v>
      </c>
      <c r="G30" s="11" t="n">
        <v>756</v>
      </c>
      <c r="H30" s="12" t="n">
        <v>2660000</v>
      </c>
      <c r="I30" s="11" t="n">
        <v>20</v>
      </c>
      <c r="J30" s="12" t="n">
        <v>11500</v>
      </c>
      <c r="K30" s="9" t="str">
        <f aca="false">INDEX(Policy!$B$13:$B$17,MATCH(G30,Policy!$A$13:$A$17,1))</f>
        <v>Very Good</v>
      </c>
      <c r="L30" s="13" t="n">
        <f aca="false">INDEX(Policy!$B$5:$B$9,MATCH(D30,Policy!$A$5:$A$9,0))+INDEX(Policy!$C$13:$C$17,MATCH(G30,Policy!$A$13:$A$17,1))</f>
        <v>0.09</v>
      </c>
      <c r="M30" s="14" t="n">
        <f aca="false">PMT(L30/12,I30*12,-H30)</f>
        <v>23932.7104256146</v>
      </c>
      <c r="N30" s="15" t="n">
        <f aca="false">(M30+J30)/F30</f>
        <v>0.571495329445397</v>
      </c>
      <c r="O30" s="14" t="n">
        <f aca="false">MAX(0,ROUND(PV(L30/12,I30*12,-(INDEX(Policy!$D$5:$D$9,MATCH(D30,Policy!$A$5:$A$9,0))*F30-J30)),-4))</f>
        <v>2170000</v>
      </c>
      <c r="P30" s="9" t="str">
        <f aca="false">IF(G30&lt;INDEX(Policy!$E$5:$E$9,MATCH(D30,Policy!$A$5:$A$9,0)),"Reject - Low Score",IF(E30+I30&gt;Policy!$B$20,"Reject - Age",IF(I30&gt;INDEX(Policy!$C$5:$C$9,MATCH(D30,Policy!$A$5:$A$9,0)),"Reject - Tenure",IF(N30&lt;=INDEX(Policy!$D$5:$D$9,MATCH(D30,Policy!$A$5:$A$9,0)),"Approve",IF(N30&lt;=INDEX(Policy!$D$5:$D$9,MATCH(D30,Policy!$A$5:$A$9,0))+Policy!$B$21,"Refer to Manager","Reject - High FOIR")))))</f>
        <v>Reject - High FOIR</v>
      </c>
    </row>
    <row r="31" customFormat="false" ht="15" hidden="false" customHeight="false" outlineLevel="0" collapsed="false">
      <c r="A31" s="9" t="s">
        <v>99</v>
      </c>
      <c r="B31" s="9" t="s">
        <v>100</v>
      </c>
      <c r="C31" s="9" t="s">
        <v>29</v>
      </c>
      <c r="D31" s="9" t="s">
        <v>41</v>
      </c>
      <c r="E31" s="11" t="n">
        <v>40</v>
      </c>
      <c r="F31" s="12" t="n">
        <v>70000</v>
      </c>
      <c r="G31" s="11" t="n">
        <v>717</v>
      </c>
      <c r="H31" s="12" t="n">
        <v>200000</v>
      </c>
      <c r="I31" s="11" t="n">
        <v>2</v>
      </c>
      <c r="J31" s="12" t="n">
        <v>0</v>
      </c>
      <c r="K31" s="9" t="str">
        <f aca="false">INDEX(Policy!$B$13:$B$17,MATCH(G31,Policy!$A$13:$A$17,1))</f>
        <v>Good</v>
      </c>
      <c r="L31" s="13" t="n">
        <f aca="false">INDEX(Policy!$B$5:$B$9,MATCH(D31,Policy!$A$5:$A$9,0))+INDEX(Policy!$C$13:$C$17,MATCH(G31,Policy!$A$13:$A$17,1))</f>
        <v>0.1225</v>
      </c>
      <c r="M31" s="14" t="n">
        <f aca="false">PMT(L31/12,I31*12,-H31)</f>
        <v>9438.06107796503</v>
      </c>
      <c r="N31" s="15" t="n">
        <f aca="false">(M31+J31)/F31</f>
        <v>0.134829443970929</v>
      </c>
      <c r="O31" s="14" t="n">
        <f aca="false">MAX(0,ROUND(PV(L31/12,I31*12,-(INDEX(Policy!$D$5:$D$9,MATCH(D31,Policy!$A$5:$A$9,0))*F31-J31)),-4))</f>
        <v>670000</v>
      </c>
      <c r="P31" s="9" t="str">
        <f aca="false">IF(G31&lt;INDEX(Policy!$E$5:$E$9,MATCH(D31,Policy!$A$5:$A$9,0)),"Reject - Low Score",IF(E31+I31&gt;Policy!$B$20,"Reject - Age",IF(I31&gt;INDEX(Policy!$C$5:$C$9,MATCH(D31,Policy!$A$5:$A$9,0)),"Reject - Tenure",IF(N31&lt;=INDEX(Policy!$D$5:$D$9,MATCH(D31,Policy!$A$5:$A$9,0)),"Approve",IF(N31&lt;=INDEX(Policy!$D$5:$D$9,MATCH(D31,Policy!$A$5:$A$9,0))+Policy!$B$21,"Refer to Manager","Reject - High FOIR")))))</f>
        <v>Reject - Low Score</v>
      </c>
    </row>
    <row r="32" customFormat="false" ht="15" hidden="false" customHeight="false" outlineLevel="0" collapsed="false">
      <c r="A32" s="9" t="s">
        <v>101</v>
      </c>
      <c r="B32" s="9" t="s">
        <v>102</v>
      </c>
      <c r="C32" s="9" t="s">
        <v>36</v>
      </c>
      <c r="D32" s="9" t="s">
        <v>33</v>
      </c>
      <c r="E32" s="11" t="n">
        <v>45</v>
      </c>
      <c r="F32" s="12" t="n">
        <v>45000</v>
      </c>
      <c r="G32" s="11" t="n">
        <v>748</v>
      </c>
      <c r="H32" s="12" t="n">
        <v>300000</v>
      </c>
      <c r="I32" s="11" t="n">
        <v>5</v>
      </c>
      <c r="J32" s="12" t="n">
        <v>7000</v>
      </c>
      <c r="K32" s="9" t="str">
        <f aca="false">INDEX(Policy!$B$13:$B$17,MATCH(G32,Policy!$A$13:$A$17,1))</f>
        <v>Good</v>
      </c>
      <c r="L32" s="13" t="n">
        <f aca="false">INDEX(Policy!$B$5:$B$9,MATCH(D32,Policy!$A$5:$A$9,0))+INDEX(Policy!$C$13:$C$17,MATCH(G32,Policy!$A$13:$A$17,1))</f>
        <v>0.1275</v>
      </c>
      <c r="M32" s="14" t="n">
        <f aca="false">PMT(L32/12,I32*12,-H32)</f>
        <v>6787.59014364137</v>
      </c>
      <c r="N32" s="15" t="n">
        <f aca="false">(M32+J32)/F32</f>
        <v>0.306390892080919</v>
      </c>
      <c r="O32" s="14" t="n">
        <f aca="false">MAX(0,ROUND(PV(L32/12,I32*12,-(INDEX(Policy!$D$5:$D$9,MATCH(D32,Policy!$A$5:$A$9,0))*F32-J32)),-4))</f>
        <v>690000</v>
      </c>
      <c r="P32" s="9" t="str">
        <f aca="false">IF(G32&lt;INDEX(Policy!$E$5:$E$9,MATCH(D32,Policy!$A$5:$A$9,0)),"Reject - Low Score",IF(E32+I32&gt;Policy!$B$20,"Reject - Age",IF(I32&gt;INDEX(Policy!$C$5:$C$9,MATCH(D32,Policy!$A$5:$A$9,0)),"Reject - Tenure",IF(N32&lt;=INDEX(Policy!$D$5:$D$9,MATCH(D32,Policy!$A$5:$A$9,0)),"Approve",IF(N32&lt;=INDEX(Policy!$D$5:$D$9,MATCH(D32,Policy!$A$5:$A$9,0))+Policy!$B$21,"Refer to Manager","Reject - High FOIR")))))</f>
        <v>Approve</v>
      </c>
    </row>
    <row r="33" customFormat="false" ht="15" hidden="false" customHeight="false" outlineLevel="0" collapsed="false">
      <c r="A33" s="9" t="s">
        <v>103</v>
      </c>
      <c r="B33" s="9" t="s">
        <v>104</v>
      </c>
      <c r="C33" s="9" t="s">
        <v>51</v>
      </c>
      <c r="D33" s="9" t="s">
        <v>41</v>
      </c>
      <c r="E33" s="11" t="n">
        <v>37</v>
      </c>
      <c r="F33" s="12" t="n">
        <v>92000</v>
      </c>
      <c r="G33" s="11" t="n">
        <v>704</v>
      </c>
      <c r="H33" s="12" t="n">
        <v>130000</v>
      </c>
      <c r="I33" s="11" t="n">
        <v>2</v>
      </c>
      <c r="J33" s="12" t="n">
        <v>0</v>
      </c>
      <c r="K33" s="9" t="str">
        <f aca="false">INDEX(Policy!$B$13:$B$17,MATCH(G33,Policy!$A$13:$A$17,1))</f>
        <v>Good</v>
      </c>
      <c r="L33" s="13" t="n">
        <f aca="false">INDEX(Policy!$B$5:$B$9,MATCH(D33,Policy!$A$5:$A$9,0))+INDEX(Policy!$C$13:$C$17,MATCH(G33,Policy!$A$13:$A$17,1))</f>
        <v>0.1225</v>
      </c>
      <c r="M33" s="14" t="n">
        <f aca="false">PMT(L33/12,I33*12,-H33)</f>
        <v>6134.73970067727</v>
      </c>
      <c r="N33" s="15" t="n">
        <f aca="false">(M33+J33)/F33</f>
        <v>0.0666819532682312</v>
      </c>
      <c r="O33" s="14" t="n">
        <f aca="false">MAX(0,ROUND(PV(L33/12,I33*12,-(INDEX(Policy!$D$5:$D$9,MATCH(D33,Policy!$A$5:$A$9,0))*F33-J33)),-4))</f>
        <v>880000</v>
      </c>
      <c r="P33" s="9" t="str">
        <f aca="false">IF(G33&lt;INDEX(Policy!$E$5:$E$9,MATCH(D33,Policy!$A$5:$A$9,0)),"Reject - Low Score",IF(E33+I33&gt;Policy!$B$20,"Reject - Age",IF(I33&gt;INDEX(Policy!$C$5:$C$9,MATCH(D33,Policy!$A$5:$A$9,0)),"Reject - Tenure",IF(N33&lt;=INDEX(Policy!$D$5:$D$9,MATCH(D33,Policy!$A$5:$A$9,0)),"Approve",IF(N33&lt;=INDEX(Policy!$D$5:$D$9,MATCH(D33,Policy!$A$5:$A$9,0))+Policy!$B$21,"Refer to Manager","Reject - High FOIR")))))</f>
        <v>Reject - Low Score</v>
      </c>
    </row>
    <row r="34" customFormat="false" ht="15" hidden="false" customHeight="false" outlineLevel="0" collapsed="false">
      <c r="A34" s="9" t="s">
        <v>105</v>
      </c>
      <c r="B34" s="9" t="s">
        <v>106</v>
      </c>
      <c r="C34" s="9" t="s">
        <v>40</v>
      </c>
      <c r="D34" s="9" t="s">
        <v>66</v>
      </c>
      <c r="E34" s="11" t="n">
        <v>31</v>
      </c>
      <c r="F34" s="12" t="n">
        <v>70000</v>
      </c>
      <c r="G34" s="11" t="n">
        <v>775</v>
      </c>
      <c r="H34" s="12" t="n">
        <v>840000</v>
      </c>
      <c r="I34" s="11" t="n">
        <v>5</v>
      </c>
      <c r="J34" s="12" t="n">
        <v>13000</v>
      </c>
      <c r="K34" s="9" t="str">
        <f aca="false">INDEX(Policy!$B$13:$B$17,MATCH(G34,Policy!$A$13:$A$17,1))</f>
        <v>Very Good</v>
      </c>
      <c r="L34" s="13" t="n">
        <f aca="false">INDEX(Policy!$B$5:$B$9,MATCH(D34,Policy!$A$5:$A$9,0))+INDEX(Policy!$C$13:$C$17,MATCH(G34,Policy!$A$13:$A$17,1))</f>
        <v>0.0975</v>
      </c>
      <c r="M34" s="14" t="n">
        <f aca="false">PMT(L34/12,I34*12,-H34)</f>
        <v>17744.3646720204</v>
      </c>
      <c r="N34" s="15" t="n">
        <f aca="false">(M34+J34)/F34</f>
        <v>0.439205209600291</v>
      </c>
      <c r="O34" s="14" t="n">
        <f aca="false">MAX(0,ROUND(PV(L34/12,I34*12,-(INDEX(Policy!$D$5:$D$9,MATCH(D34,Policy!$A$5:$A$9,0))*F34-J34)),-4))</f>
        <v>1210000</v>
      </c>
      <c r="P34" s="9" t="str">
        <f aca="false">IF(G34&lt;INDEX(Policy!$E$5:$E$9,MATCH(D34,Policy!$A$5:$A$9,0)),"Reject - Low Score",IF(E34+I34&gt;Policy!$B$20,"Reject - Age",IF(I34&gt;INDEX(Policy!$C$5:$C$9,MATCH(D34,Policy!$A$5:$A$9,0)),"Reject - Tenure",IF(N34&lt;=INDEX(Policy!$D$5:$D$9,MATCH(D34,Policy!$A$5:$A$9,0)),"Approve",IF(N34&lt;=INDEX(Policy!$D$5:$D$9,MATCH(D34,Policy!$A$5:$A$9,0))+Policy!$B$21,"Refer to Manager","Reject - High FOIR")))))</f>
        <v>Approve</v>
      </c>
    </row>
    <row r="35" customFormat="false" ht="15" hidden="false" customHeight="false" outlineLevel="0" collapsed="false">
      <c r="A35" s="9" t="s">
        <v>107</v>
      </c>
      <c r="B35" s="9" t="s">
        <v>108</v>
      </c>
      <c r="C35" s="9" t="s">
        <v>71</v>
      </c>
      <c r="D35" s="9" t="s">
        <v>37</v>
      </c>
      <c r="E35" s="11" t="n">
        <v>32</v>
      </c>
      <c r="F35" s="12" t="n">
        <v>77000</v>
      </c>
      <c r="G35" s="11" t="n">
        <v>725</v>
      </c>
      <c r="H35" s="12" t="n">
        <v>2250000</v>
      </c>
      <c r="I35" s="11" t="n">
        <v>20</v>
      </c>
      <c r="J35" s="12" t="n">
        <v>0</v>
      </c>
      <c r="K35" s="9" t="str">
        <f aca="false">INDEX(Policy!$B$13:$B$17,MATCH(G35,Policy!$A$13:$A$17,1))</f>
        <v>Good</v>
      </c>
      <c r="L35" s="13" t="n">
        <f aca="false">INDEX(Policy!$B$5:$B$9,MATCH(D35,Policy!$A$5:$A$9,0))+INDEX(Policy!$C$13:$C$17,MATCH(G35,Policy!$A$13:$A$17,1))</f>
        <v>0.095</v>
      </c>
      <c r="M35" s="14" t="n">
        <f aca="false">PMT(L35/12,I35*12,-H35)</f>
        <v>20972.9517262542</v>
      </c>
      <c r="N35" s="15" t="n">
        <f aca="false">(M35+J35)/F35</f>
        <v>0.272375996444859</v>
      </c>
      <c r="O35" s="14" t="n">
        <f aca="false">MAX(0,ROUND(PV(L35/12,I35*12,-(INDEX(Policy!$D$5:$D$9,MATCH(D35,Policy!$A$5:$A$9,0))*F35-J35)),-4))</f>
        <v>4130000</v>
      </c>
      <c r="P35" s="9" t="str">
        <f aca="false">IF(G35&lt;INDEX(Policy!$E$5:$E$9,MATCH(D35,Policy!$A$5:$A$9,0)),"Reject - Low Score",IF(E35+I35&gt;Policy!$B$20,"Reject - Age",IF(I35&gt;INDEX(Policy!$C$5:$C$9,MATCH(D35,Policy!$A$5:$A$9,0)),"Reject - Tenure",IF(N35&lt;=INDEX(Policy!$D$5:$D$9,MATCH(D35,Policy!$A$5:$A$9,0)),"Approve",IF(N35&lt;=INDEX(Policy!$D$5:$D$9,MATCH(D35,Policy!$A$5:$A$9,0))+Policy!$B$21,"Refer to Manager","Reject - High FOIR")))))</f>
        <v>Approve</v>
      </c>
    </row>
    <row r="36" customFormat="false" ht="15" hidden="false" customHeight="false" outlineLevel="0" collapsed="false">
      <c r="A36" s="9" t="s">
        <v>109</v>
      </c>
      <c r="B36" s="9" t="s">
        <v>110</v>
      </c>
      <c r="C36" s="9" t="s">
        <v>44</v>
      </c>
      <c r="D36" s="9" t="s">
        <v>41</v>
      </c>
      <c r="E36" s="11" t="n">
        <v>37</v>
      </c>
      <c r="F36" s="12" t="n">
        <v>79000</v>
      </c>
      <c r="G36" s="11" t="n">
        <v>762</v>
      </c>
      <c r="H36" s="12" t="n">
        <v>290000</v>
      </c>
      <c r="I36" s="11" t="n">
        <v>4</v>
      </c>
      <c r="J36" s="12" t="n">
        <v>0</v>
      </c>
      <c r="K36" s="9" t="str">
        <f aca="false">INDEX(Policy!$B$13:$B$17,MATCH(G36,Policy!$A$13:$A$17,1))</f>
        <v>Very Good</v>
      </c>
      <c r="L36" s="13" t="n">
        <f aca="false">INDEX(Policy!$B$5:$B$9,MATCH(D36,Policy!$A$5:$A$9,0))+INDEX(Policy!$C$13:$C$17,MATCH(G36,Policy!$A$13:$A$17,1))</f>
        <v>0.1175</v>
      </c>
      <c r="M36" s="14" t="n">
        <f aca="false">PMT(L36/12,I36*12,-H36)</f>
        <v>7601.26390471486</v>
      </c>
      <c r="N36" s="15" t="n">
        <f aca="false">(M36+J36)/F36</f>
        <v>0.0962185304394286</v>
      </c>
      <c r="O36" s="14" t="n">
        <f aca="false">MAX(0,ROUND(PV(L36/12,I36*12,-(INDEX(Policy!$D$5:$D$9,MATCH(D36,Policy!$A$5:$A$9,0))*F36-J36)),-4))</f>
        <v>1360000</v>
      </c>
      <c r="P36" s="9" t="str">
        <f aca="false">IF(G36&lt;INDEX(Policy!$E$5:$E$9,MATCH(D36,Policy!$A$5:$A$9,0)),"Reject - Low Score",IF(E36+I36&gt;Policy!$B$20,"Reject - Age",IF(I36&gt;INDEX(Policy!$C$5:$C$9,MATCH(D36,Policy!$A$5:$A$9,0)),"Reject - Tenure",IF(N36&lt;=INDEX(Policy!$D$5:$D$9,MATCH(D36,Policy!$A$5:$A$9,0)),"Approve",IF(N36&lt;=INDEX(Policy!$D$5:$D$9,MATCH(D36,Policy!$A$5:$A$9,0))+Policy!$B$21,"Refer to Manager","Reject - High FOIR")))))</f>
        <v>Approve</v>
      </c>
    </row>
    <row r="37" customFormat="false" ht="15" hidden="false" customHeight="false" outlineLevel="0" collapsed="false">
      <c r="A37" s="9" t="s">
        <v>111</v>
      </c>
      <c r="B37" s="9" t="s">
        <v>112</v>
      </c>
      <c r="C37" s="9" t="s">
        <v>36</v>
      </c>
      <c r="D37" s="9" t="s">
        <v>33</v>
      </c>
      <c r="E37" s="11" t="n">
        <v>47</v>
      </c>
      <c r="F37" s="12" t="n">
        <v>59000</v>
      </c>
      <c r="G37" s="11" t="n">
        <v>732</v>
      </c>
      <c r="H37" s="12" t="n">
        <v>590000</v>
      </c>
      <c r="I37" s="11" t="n">
        <v>5</v>
      </c>
      <c r="J37" s="12" t="n">
        <v>16500</v>
      </c>
      <c r="K37" s="9" t="str">
        <f aca="false">INDEX(Policy!$B$13:$B$17,MATCH(G37,Policy!$A$13:$A$17,1))</f>
        <v>Good</v>
      </c>
      <c r="L37" s="13" t="n">
        <f aca="false">INDEX(Policy!$B$5:$B$9,MATCH(D37,Policy!$A$5:$A$9,0))+INDEX(Policy!$C$13:$C$17,MATCH(G37,Policy!$A$13:$A$17,1))</f>
        <v>0.1275</v>
      </c>
      <c r="M37" s="14" t="n">
        <f aca="false">PMT(L37/12,I37*12,-H37)</f>
        <v>13348.9272824947</v>
      </c>
      <c r="N37" s="15" t="n">
        <f aca="false">(M37+J37)/F37</f>
        <v>0.505914021737198</v>
      </c>
      <c r="O37" s="14" t="n">
        <f aca="false">MAX(0,ROUND(PV(L37/12,I37*12,-(INDEX(Policy!$D$5:$D$9,MATCH(D37,Policy!$A$5:$A$9,0))*F37-J37)),-4))</f>
        <v>570000</v>
      </c>
      <c r="P37" s="9" t="str">
        <f aca="false">IF(G37&lt;INDEX(Policy!$E$5:$E$9,MATCH(D37,Policy!$A$5:$A$9,0)),"Reject - Low Score",IF(E37+I37&gt;Policy!$B$20,"Reject - Age",IF(I37&gt;INDEX(Policy!$C$5:$C$9,MATCH(D37,Policy!$A$5:$A$9,0)),"Reject - Tenure",IF(N37&lt;=INDEX(Policy!$D$5:$D$9,MATCH(D37,Policy!$A$5:$A$9,0)),"Approve",IF(N37&lt;=INDEX(Policy!$D$5:$D$9,MATCH(D37,Policy!$A$5:$A$9,0))+Policy!$B$21,"Refer to Manager","Reject - High FOIR")))))</f>
        <v>Refer to Manager</v>
      </c>
    </row>
    <row r="38" customFormat="false" ht="15" hidden="false" customHeight="false" outlineLevel="0" collapsed="false">
      <c r="A38" s="9" t="s">
        <v>113</v>
      </c>
      <c r="B38" s="9" t="s">
        <v>114</v>
      </c>
      <c r="C38" s="9" t="s">
        <v>115</v>
      </c>
      <c r="D38" s="9" t="s">
        <v>66</v>
      </c>
      <c r="E38" s="11" t="n">
        <v>43</v>
      </c>
      <c r="F38" s="12" t="n">
        <v>140000</v>
      </c>
      <c r="G38" s="11" t="n">
        <v>718</v>
      </c>
      <c r="H38" s="12" t="n">
        <v>770000</v>
      </c>
      <c r="I38" s="11" t="n">
        <v>7</v>
      </c>
      <c r="J38" s="12" t="n">
        <v>43500</v>
      </c>
      <c r="K38" s="9" t="str">
        <f aca="false">INDEX(Policy!$B$13:$B$17,MATCH(G38,Policy!$A$13:$A$17,1))</f>
        <v>Good</v>
      </c>
      <c r="L38" s="13" t="n">
        <f aca="false">INDEX(Policy!$B$5:$B$9,MATCH(D38,Policy!$A$5:$A$9,0))+INDEX(Policy!$C$13:$C$17,MATCH(G38,Policy!$A$13:$A$17,1))</f>
        <v>0.1025</v>
      </c>
      <c r="M38" s="14" t="n">
        <f aca="false">PMT(L38/12,I38*12,-H38)</f>
        <v>12882.5955090652</v>
      </c>
      <c r="N38" s="15" t="n">
        <f aca="false">(M38+J38)/F38</f>
        <v>0.402732825064752</v>
      </c>
      <c r="O38" s="14" t="n">
        <f aca="false">MAX(0,ROUND(PV(L38/12,I38*12,-(INDEX(Policy!$D$5:$D$9,MATCH(D38,Policy!$A$5:$A$9,0))*F38-J38)),-4))</f>
        <v>2000000</v>
      </c>
      <c r="P38" s="9" t="str">
        <f aca="false">IF(G38&lt;INDEX(Policy!$E$5:$E$9,MATCH(D38,Policy!$A$5:$A$9,0)),"Reject - Low Score",IF(E38+I38&gt;Policy!$B$20,"Reject - Age",IF(I38&gt;INDEX(Policy!$C$5:$C$9,MATCH(D38,Policy!$A$5:$A$9,0)),"Reject - Tenure",IF(N38&lt;=INDEX(Policy!$D$5:$D$9,MATCH(D38,Policy!$A$5:$A$9,0)),"Approve",IF(N38&lt;=INDEX(Policy!$D$5:$D$9,MATCH(D38,Policy!$A$5:$A$9,0))+Policy!$B$21,"Refer to Manager","Reject - High FOIR")))))</f>
        <v>Approve</v>
      </c>
    </row>
    <row r="39" customFormat="false" ht="15" hidden="false" customHeight="false" outlineLevel="0" collapsed="false">
      <c r="A39" s="9" t="s">
        <v>116</v>
      </c>
      <c r="B39" s="9" t="s">
        <v>117</v>
      </c>
      <c r="C39" s="9" t="s">
        <v>36</v>
      </c>
      <c r="D39" s="9" t="s">
        <v>37</v>
      </c>
      <c r="E39" s="11" t="n">
        <v>33</v>
      </c>
      <c r="F39" s="12" t="n">
        <v>61000</v>
      </c>
      <c r="G39" s="11" t="n">
        <v>701</v>
      </c>
      <c r="H39" s="12" t="n">
        <v>2610000</v>
      </c>
      <c r="I39" s="11" t="n">
        <v>15</v>
      </c>
      <c r="J39" s="12" t="n">
        <v>3500</v>
      </c>
      <c r="K39" s="9" t="str">
        <f aca="false">INDEX(Policy!$B$13:$B$17,MATCH(G39,Policy!$A$13:$A$17,1))</f>
        <v>Good</v>
      </c>
      <c r="L39" s="13" t="n">
        <f aca="false">INDEX(Policy!$B$5:$B$9,MATCH(D39,Policy!$A$5:$A$9,0))+INDEX(Policy!$C$13:$C$17,MATCH(G39,Policy!$A$13:$A$17,1))</f>
        <v>0.095</v>
      </c>
      <c r="M39" s="14" t="n">
        <f aca="false">PMT(L39/12,I39*12,-H39)</f>
        <v>27254.2642227448</v>
      </c>
      <c r="N39" s="15" t="n">
        <f aca="false">(M39+J39)/F39</f>
        <v>0.504168265946637</v>
      </c>
      <c r="O39" s="14" t="n">
        <f aca="false">MAX(0,ROUND(PV(L39/12,I39*12,-(INDEX(Policy!$D$5:$D$9,MATCH(D39,Policy!$A$5:$A$9,0))*F39-J39)),-4))</f>
        <v>2590000</v>
      </c>
      <c r="P39" s="9" t="str">
        <f aca="false">IF(G39&lt;INDEX(Policy!$E$5:$E$9,MATCH(D39,Policy!$A$5:$A$9,0)),"Reject - Low Score",IF(E39+I39&gt;Policy!$B$20,"Reject - Age",IF(I39&gt;INDEX(Policy!$C$5:$C$9,MATCH(D39,Policy!$A$5:$A$9,0)),"Reject - Tenure",IF(N39&lt;=INDEX(Policy!$D$5:$D$9,MATCH(D39,Policy!$A$5:$A$9,0)),"Approve",IF(N39&lt;=INDEX(Policy!$D$5:$D$9,MATCH(D39,Policy!$A$5:$A$9,0))+Policy!$B$21,"Refer to Manager","Reject - High FOIR")))))</f>
        <v>Refer to Manager</v>
      </c>
    </row>
    <row r="40" customFormat="false" ht="15" hidden="false" customHeight="false" outlineLevel="0" collapsed="false">
      <c r="A40" s="9" t="s">
        <v>118</v>
      </c>
      <c r="B40" s="9" t="s">
        <v>119</v>
      </c>
      <c r="C40" s="9" t="s">
        <v>29</v>
      </c>
      <c r="D40" s="9" t="s">
        <v>30</v>
      </c>
      <c r="E40" s="11" t="n">
        <v>36</v>
      </c>
      <c r="F40" s="12" t="n">
        <v>71000</v>
      </c>
      <c r="G40" s="11" t="n">
        <v>737</v>
      </c>
      <c r="H40" s="12" t="n">
        <v>350000</v>
      </c>
      <c r="I40" s="11" t="n">
        <v>7</v>
      </c>
      <c r="J40" s="12" t="n">
        <v>5000</v>
      </c>
      <c r="K40" s="9" t="str">
        <f aca="false">INDEX(Policy!$B$13:$B$17,MATCH(G40,Policy!$A$13:$A$17,1))</f>
        <v>Good</v>
      </c>
      <c r="L40" s="13" t="n">
        <f aca="false">INDEX(Policy!$B$5:$B$9,MATCH(D40,Policy!$A$5:$A$9,0))+INDEX(Policy!$C$13:$C$17,MATCH(G40,Policy!$A$13:$A$17,1))</f>
        <v>0.1</v>
      </c>
      <c r="M40" s="14" t="n">
        <f aca="false">PMT(L40/12,I40*12,-H40)</f>
        <v>5810.41440941007</v>
      </c>
      <c r="N40" s="15" t="n">
        <f aca="false">(M40+J40)/F40</f>
        <v>0.152259357879015</v>
      </c>
      <c r="O40" s="14" t="n">
        <f aca="false">MAX(0,ROUND(PV(L40/12,I40*12,-(INDEX(Policy!$D$5:$D$9,MATCH(D40,Policy!$A$5:$A$9,0))*F40-J40)),-4))</f>
        <v>1840000</v>
      </c>
      <c r="P40" s="9" t="str">
        <f aca="false">IF(G40&lt;INDEX(Policy!$E$5:$E$9,MATCH(D40,Policy!$A$5:$A$9,0)),"Reject - Low Score",IF(E40+I40&gt;Policy!$B$20,"Reject - Age",IF(I40&gt;INDEX(Policy!$C$5:$C$9,MATCH(D40,Policy!$A$5:$A$9,0)),"Reject - Tenure",IF(N40&lt;=INDEX(Policy!$D$5:$D$9,MATCH(D40,Policy!$A$5:$A$9,0)),"Approve",IF(N40&lt;=INDEX(Policy!$D$5:$D$9,MATCH(D40,Policy!$A$5:$A$9,0))+Policy!$B$21,"Refer to Manager","Reject - High FOIR")))))</f>
        <v>Approve</v>
      </c>
    </row>
    <row r="41" customFormat="false" ht="15" hidden="false" customHeight="false" outlineLevel="0" collapsed="false">
      <c r="A41" s="9" t="s">
        <v>120</v>
      </c>
      <c r="B41" s="9" t="s">
        <v>121</v>
      </c>
      <c r="C41" s="9" t="s">
        <v>36</v>
      </c>
      <c r="D41" s="9" t="s">
        <v>30</v>
      </c>
      <c r="E41" s="11" t="n">
        <v>45</v>
      </c>
      <c r="F41" s="12" t="n">
        <v>40000</v>
      </c>
      <c r="G41" s="11" t="n">
        <v>741</v>
      </c>
      <c r="H41" s="12" t="n">
        <v>290000</v>
      </c>
      <c r="I41" s="11" t="n">
        <v>7</v>
      </c>
      <c r="J41" s="12" t="n">
        <v>0</v>
      </c>
      <c r="K41" s="9" t="str">
        <f aca="false">INDEX(Policy!$B$13:$B$17,MATCH(G41,Policy!$A$13:$A$17,1))</f>
        <v>Good</v>
      </c>
      <c r="L41" s="13" t="n">
        <f aca="false">INDEX(Policy!$B$5:$B$9,MATCH(D41,Policy!$A$5:$A$9,0))+INDEX(Policy!$C$13:$C$17,MATCH(G41,Policy!$A$13:$A$17,1))</f>
        <v>0.1</v>
      </c>
      <c r="M41" s="14" t="n">
        <f aca="false">PMT(L41/12,I41*12,-H41)</f>
        <v>4814.34336779691</v>
      </c>
      <c r="N41" s="15" t="n">
        <f aca="false">(M41+J41)/F41</f>
        <v>0.120358584194923</v>
      </c>
      <c r="O41" s="14" t="n">
        <f aca="false">MAX(0,ROUND(PV(L41/12,I41*12,-(INDEX(Policy!$D$5:$D$9,MATCH(D41,Policy!$A$5:$A$9,0))*F41-J41)),-4))</f>
        <v>1200000</v>
      </c>
      <c r="P41" s="9" t="str">
        <f aca="false">IF(G41&lt;INDEX(Policy!$E$5:$E$9,MATCH(D41,Policy!$A$5:$A$9,0)),"Reject - Low Score",IF(E41+I41&gt;Policy!$B$20,"Reject - Age",IF(I41&gt;INDEX(Policy!$C$5:$C$9,MATCH(D41,Policy!$A$5:$A$9,0)),"Reject - Tenure",IF(N41&lt;=INDEX(Policy!$D$5:$D$9,MATCH(D41,Policy!$A$5:$A$9,0)),"Approve",IF(N41&lt;=INDEX(Policy!$D$5:$D$9,MATCH(D41,Policy!$A$5:$A$9,0))+Policy!$B$21,"Refer to Manager","Reject - High FOIR")))))</f>
        <v>Approve</v>
      </c>
    </row>
    <row r="42" customFormat="false" ht="15" hidden="false" customHeight="false" outlineLevel="0" collapsed="false">
      <c r="A42" s="9" t="s">
        <v>122</v>
      </c>
      <c r="B42" s="9" t="s">
        <v>123</v>
      </c>
      <c r="C42" s="9" t="s">
        <v>71</v>
      </c>
      <c r="D42" s="9" t="s">
        <v>37</v>
      </c>
      <c r="E42" s="11" t="n">
        <v>47</v>
      </c>
      <c r="F42" s="12" t="n">
        <v>135000</v>
      </c>
      <c r="G42" s="11" t="n">
        <v>793</v>
      </c>
      <c r="H42" s="12" t="n">
        <v>2570000</v>
      </c>
      <c r="I42" s="11" t="n">
        <v>30</v>
      </c>
      <c r="J42" s="12" t="n">
        <v>0</v>
      </c>
      <c r="K42" s="9" t="str">
        <f aca="false">INDEX(Policy!$B$13:$B$17,MATCH(G42,Policy!$A$13:$A$17,1))</f>
        <v>Very Good</v>
      </c>
      <c r="L42" s="13" t="n">
        <f aca="false">INDEX(Policy!$B$5:$B$9,MATCH(D42,Policy!$A$5:$A$9,0))+INDEX(Policy!$C$13:$C$17,MATCH(G42,Policy!$A$13:$A$17,1))</f>
        <v>0.09</v>
      </c>
      <c r="M42" s="14" t="n">
        <f aca="false">PMT(L42/12,I42*12,-H42)</f>
        <v>20678.8012554809</v>
      </c>
      <c r="N42" s="15" t="n">
        <f aca="false">(M42+J42)/F42</f>
        <v>0.153176305596155</v>
      </c>
      <c r="O42" s="14" t="n">
        <f aca="false">MAX(0,ROUND(PV(L42/12,I42*12,-(INDEX(Policy!$D$5:$D$9,MATCH(D42,Policy!$A$5:$A$9,0))*F42-J42)),-4))</f>
        <v>8390000</v>
      </c>
      <c r="P42" s="9" t="str">
        <f aca="false">IF(G42&lt;INDEX(Policy!$E$5:$E$9,MATCH(D42,Policy!$A$5:$A$9,0)),"Reject - Low Score",IF(E42+I42&gt;Policy!$B$20,"Reject - Age",IF(I42&gt;INDEX(Policy!$C$5:$C$9,MATCH(D42,Policy!$A$5:$A$9,0)),"Reject - Tenure",IF(N42&lt;=INDEX(Policy!$D$5:$D$9,MATCH(D42,Policy!$A$5:$A$9,0)),"Approve",IF(N42&lt;=INDEX(Policy!$D$5:$D$9,MATCH(D42,Policy!$A$5:$A$9,0))+Policy!$B$21,"Refer to Manager","Reject - High FOIR")))))</f>
        <v>Reject - Age</v>
      </c>
    </row>
    <row r="43" customFormat="false" ht="15" hidden="false" customHeight="false" outlineLevel="0" collapsed="false">
      <c r="A43" s="9" t="s">
        <v>124</v>
      </c>
      <c r="B43" s="9" t="s">
        <v>125</v>
      </c>
      <c r="C43" s="9" t="s">
        <v>29</v>
      </c>
      <c r="D43" s="9" t="s">
        <v>66</v>
      </c>
      <c r="E43" s="11" t="n">
        <v>49</v>
      </c>
      <c r="F43" s="12" t="n">
        <v>105000</v>
      </c>
      <c r="G43" s="11" t="n">
        <v>654</v>
      </c>
      <c r="H43" s="12" t="n">
        <v>520000</v>
      </c>
      <c r="I43" s="11" t="n">
        <v>7</v>
      </c>
      <c r="J43" s="12" t="n">
        <v>0</v>
      </c>
      <c r="K43" s="9" t="str">
        <f aca="false">INDEX(Policy!$B$13:$B$17,MATCH(G43,Policy!$A$13:$A$17,1))</f>
        <v>Fair</v>
      </c>
      <c r="L43" s="13" t="n">
        <f aca="false">INDEX(Policy!$B$5:$B$9,MATCH(D43,Policy!$A$5:$A$9,0))+INDEX(Policy!$C$13:$C$17,MATCH(G43,Policy!$A$13:$A$17,1))</f>
        <v>0.11</v>
      </c>
      <c r="M43" s="14" t="n">
        <f aca="false">PMT(L43/12,I43*12,-H43)</f>
        <v>8903.66694614735</v>
      </c>
      <c r="N43" s="15" t="n">
        <f aca="false">(M43+J43)/F43</f>
        <v>0.0847968280585462</v>
      </c>
      <c r="O43" s="14" t="n">
        <f aca="false">MAX(0,ROUND(PV(L43/12,I43*12,-(INDEX(Policy!$D$5:$D$9,MATCH(D43,Policy!$A$5:$A$9,0))*F43-J43)),-4))</f>
        <v>3370000</v>
      </c>
      <c r="P43" s="9" t="str">
        <f aca="false">IF(G43&lt;INDEX(Policy!$E$5:$E$9,MATCH(D43,Policy!$A$5:$A$9,0)),"Reject - Low Score",IF(E43+I43&gt;Policy!$B$20,"Reject - Age",IF(I43&gt;INDEX(Policy!$C$5:$C$9,MATCH(D43,Policy!$A$5:$A$9,0)),"Reject - Tenure",IF(N43&lt;=INDEX(Policy!$D$5:$D$9,MATCH(D43,Policy!$A$5:$A$9,0)),"Approve",IF(N43&lt;=INDEX(Policy!$D$5:$D$9,MATCH(D43,Policy!$A$5:$A$9,0))+Policy!$B$21,"Refer to Manager","Reject - High FOIR")))))</f>
        <v>Approve</v>
      </c>
    </row>
    <row r="44" customFormat="false" ht="15" hidden="false" customHeight="false" outlineLevel="0" collapsed="false">
      <c r="A44" s="9" t="s">
        <v>126</v>
      </c>
      <c r="B44" s="9" t="s">
        <v>127</v>
      </c>
      <c r="C44" s="9" t="s">
        <v>59</v>
      </c>
      <c r="D44" s="9" t="s">
        <v>41</v>
      </c>
      <c r="E44" s="11" t="n">
        <v>32</v>
      </c>
      <c r="F44" s="12" t="n">
        <v>150000</v>
      </c>
      <c r="G44" s="11" t="n">
        <v>750</v>
      </c>
      <c r="H44" s="12" t="n">
        <v>540000</v>
      </c>
      <c r="I44" s="11" t="n">
        <v>2</v>
      </c>
      <c r="J44" s="12" t="n">
        <v>17000</v>
      </c>
      <c r="K44" s="9" t="str">
        <f aca="false">INDEX(Policy!$B$13:$B$17,MATCH(G44,Policy!$A$13:$A$17,1))</f>
        <v>Very Good</v>
      </c>
      <c r="L44" s="13" t="n">
        <f aca="false">INDEX(Policy!$B$5:$B$9,MATCH(D44,Policy!$A$5:$A$9,0))+INDEX(Policy!$C$13:$C$17,MATCH(G44,Policy!$A$13:$A$17,1))</f>
        <v>0.1175</v>
      </c>
      <c r="M44" s="14" t="n">
        <f aca="false">PMT(L44/12,I44*12,-H44)</f>
        <v>25356.6767675555</v>
      </c>
      <c r="N44" s="15" t="n">
        <f aca="false">(M44+J44)/F44</f>
        <v>0.282377845117037</v>
      </c>
      <c r="O44" s="14" t="n">
        <f aca="false">MAX(0,ROUND(PV(L44/12,I44*12,-(INDEX(Policy!$D$5:$D$9,MATCH(D44,Policy!$A$5:$A$9,0))*F44-J44)),-4))</f>
        <v>1080000</v>
      </c>
      <c r="P44" s="9" t="str">
        <f aca="false">IF(G44&lt;INDEX(Policy!$E$5:$E$9,MATCH(D44,Policy!$A$5:$A$9,0)),"Reject - Low Score",IF(E44+I44&gt;Policy!$B$20,"Reject - Age",IF(I44&gt;INDEX(Policy!$C$5:$C$9,MATCH(D44,Policy!$A$5:$A$9,0)),"Reject - Tenure",IF(N44&lt;=INDEX(Policy!$D$5:$D$9,MATCH(D44,Policy!$A$5:$A$9,0)),"Approve",IF(N44&lt;=INDEX(Policy!$D$5:$D$9,MATCH(D44,Policy!$A$5:$A$9,0))+Policy!$B$21,"Refer to Manager","Reject - High FOIR")))))</f>
        <v>Approve</v>
      </c>
    </row>
    <row r="45" customFormat="false" ht="15" hidden="false" customHeight="false" outlineLevel="0" collapsed="false">
      <c r="A45" s="9" t="s">
        <v>128</v>
      </c>
      <c r="B45" s="9" t="s">
        <v>129</v>
      </c>
      <c r="C45" s="9" t="s">
        <v>115</v>
      </c>
      <c r="D45" s="9" t="s">
        <v>33</v>
      </c>
      <c r="E45" s="11" t="n">
        <v>32</v>
      </c>
      <c r="F45" s="12" t="n">
        <v>33000</v>
      </c>
      <c r="G45" s="11" t="n">
        <v>744</v>
      </c>
      <c r="H45" s="12" t="n">
        <v>640000</v>
      </c>
      <c r="I45" s="11" t="n">
        <v>5</v>
      </c>
      <c r="J45" s="12" t="n">
        <v>8500</v>
      </c>
      <c r="K45" s="9" t="str">
        <f aca="false">INDEX(Policy!$B$13:$B$17,MATCH(G45,Policy!$A$13:$A$17,1))</f>
        <v>Good</v>
      </c>
      <c r="L45" s="13" t="n">
        <f aca="false">INDEX(Policy!$B$5:$B$9,MATCH(D45,Policy!$A$5:$A$9,0))+INDEX(Policy!$C$13:$C$17,MATCH(G45,Policy!$A$13:$A$17,1))</f>
        <v>0.1275</v>
      </c>
      <c r="M45" s="14" t="n">
        <f aca="false">PMT(L45/12,I45*12,-H45)</f>
        <v>14480.1923064349</v>
      </c>
      <c r="N45" s="15" t="n">
        <f aca="false">(M45+J45)/F45</f>
        <v>0.696369463831361</v>
      </c>
      <c r="O45" s="14" t="n">
        <f aca="false">MAX(0,ROUND(PV(L45/12,I45*12,-(INDEX(Policy!$D$5:$D$9,MATCH(D45,Policy!$A$5:$A$9,0))*F45-J45)),-4))</f>
        <v>350000</v>
      </c>
      <c r="P45" s="9" t="str">
        <f aca="false">IF(G45&lt;INDEX(Policy!$E$5:$E$9,MATCH(D45,Policy!$A$5:$A$9,0)),"Reject - Low Score",IF(E45+I45&gt;Policy!$B$20,"Reject - Age",IF(I45&gt;INDEX(Policy!$C$5:$C$9,MATCH(D45,Policy!$A$5:$A$9,0)),"Reject - Tenure",IF(N45&lt;=INDEX(Policy!$D$5:$D$9,MATCH(D45,Policy!$A$5:$A$9,0)),"Approve",IF(N45&lt;=INDEX(Policy!$D$5:$D$9,MATCH(D45,Policy!$A$5:$A$9,0))+Policy!$B$21,"Refer to Manager","Reject - High FOIR")))))</f>
        <v>Reject - High FOIR</v>
      </c>
    </row>
    <row r="46" customFormat="false" ht="15" hidden="false" customHeight="false" outlineLevel="0" collapsed="false">
      <c r="A46" s="9" t="s">
        <v>130</v>
      </c>
      <c r="B46" s="9" t="s">
        <v>131</v>
      </c>
      <c r="C46" s="9" t="s">
        <v>29</v>
      </c>
      <c r="D46" s="9" t="s">
        <v>41</v>
      </c>
      <c r="E46" s="11" t="n">
        <v>43</v>
      </c>
      <c r="F46" s="12" t="n">
        <v>182000</v>
      </c>
      <c r="G46" s="11" t="n">
        <v>669</v>
      </c>
      <c r="H46" s="12" t="n">
        <v>590000</v>
      </c>
      <c r="I46" s="11" t="n">
        <v>3</v>
      </c>
      <c r="J46" s="12" t="n">
        <v>0</v>
      </c>
      <c r="K46" s="9" t="str">
        <f aca="false">INDEX(Policy!$B$13:$B$17,MATCH(G46,Policy!$A$13:$A$17,1))</f>
        <v>Fair</v>
      </c>
      <c r="L46" s="13" t="n">
        <f aca="false">INDEX(Policy!$B$5:$B$9,MATCH(D46,Policy!$A$5:$A$9,0))+INDEX(Policy!$C$13:$C$17,MATCH(G46,Policy!$A$13:$A$17,1))</f>
        <v>0.13</v>
      </c>
      <c r="M46" s="14" t="n">
        <f aca="false">PMT(L46/12,I46*12,-H46)</f>
        <v>19879.4316819421</v>
      </c>
      <c r="N46" s="15" t="n">
        <f aca="false">(M46+J46)/F46</f>
        <v>0.109227646604078</v>
      </c>
      <c r="O46" s="14" t="n">
        <f aca="false">MAX(0,ROUND(PV(L46/12,I46*12,-(INDEX(Policy!$D$5:$D$9,MATCH(D46,Policy!$A$5:$A$9,0))*F46-J46)),-4))</f>
        <v>2430000</v>
      </c>
      <c r="P46" s="9" t="str">
        <f aca="false">IF(G46&lt;INDEX(Policy!$E$5:$E$9,MATCH(D46,Policy!$A$5:$A$9,0)),"Reject - Low Score",IF(E46+I46&gt;Policy!$B$20,"Reject - Age",IF(I46&gt;INDEX(Policy!$C$5:$C$9,MATCH(D46,Policy!$A$5:$A$9,0)),"Reject - Tenure",IF(N46&lt;=INDEX(Policy!$D$5:$D$9,MATCH(D46,Policy!$A$5:$A$9,0)),"Approve",IF(N46&lt;=INDEX(Policy!$D$5:$D$9,MATCH(D46,Policy!$A$5:$A$9,0))+Policy!$B$21,"Refer to Manager","Reject - High FOIR")))))</f>
        <v>Reject - Low Score</v>
      </c>
    </row>
    <row r="47" customFormat="false" ht="15" hidden="false" customHeight="false" outlineLevel="0" collapsed="false">
      <c r="A47" s="9" t="s">
        <v>132</v>
      </c>
      <c r="B47" s="9" t="s">
        <v>133</v>
      </c>
      <c r="C47" s="9" t="s">
        <v>29</v>
      </c>
      <c r="D47" s="9" t="s">
        <v>37</v>
      </c>
      <c r="E47" s="11" t="n">
        <v>32</v>
      </c>
      <c r="F47" s="12" t="n">
        <v>104000</v>
      </c>
      <c r="G47" s="11" t="n">
        <v>751</v>
      </c>
      <c r="H47" s="12" t="n">
        <v>3350000</v>
      </c>
      <c r="I47" s="11" t="n">
        <v>30</v>
      </c>
      <c r="J47" s="12" t="n">
        <v>6500</v>
      </c>
      <c r="K47" s="9" t="str">
        <f aca="false">INDEX(Policy!$B$13:$B$17,MATCH(G47,Policy!$A$13:$A$17,1))</f>
        <v>Very Good</v>
      </c>
      <c r="L47" s="13" t="n">
        <f aca="false">INDEX(Policy!$B$5:$B$9,MATCH(D47,Policy!$A$5:$A$9,0))+INDEX(Policy!$C$13:$C$17,MATCH(G47,Policy!$A$13:$A$17,1))</f>
        <v>0.09</v>
      </c>
      <c r="M47" s="14" t="n">
        <f aca="false">PMT(L47/12,I47*12,-H47)</f>
        <v>26954.8576676502</v>
      </c>
      <c r="N47" s="15" t="n">
        <f aca="false">(M47+J47)/F47</f>
        <v>0.321681323727406</v>
      </c>
      <c r="O47" s="14" t="n">
        <f aca="false">MAX(0,ROUND(PV(L47/12,I47*12,-(INDEX(Policy!$D$5:$D$9,MATCH(D47,Policy!$A$5:$A$9,0))*F47-J47)),-4))</f>
        <v>5650000</v>
      </c>
      <c r="P47" s="9" t="str">
        <f aca="false">IF(G47&lt;INDEX(Policy!$E$5:$E$9,MATCH(D47,Policy!$A$5:$A$9,0)),"Reject - Low Score",IF(E47+I47&gt;Policy!$B$20,"Reject - Age",IF(I47&gt;INDEX(Policy!$C$5:$C$9,MATCH(D47,Policy!$A$5:$A$9,0)),"Reject - Tenure",IF(N47&lt;=INDEX(Policy!$D$5:$D$9,MATCH(D47,Policy!$A$5:$A$9,0)),"Approve",IF(N47&lt;=INDEX(Policy!$D$5:$D$9,MATCH(D47,Policy!$A$5:$A$9,0))+Policy!$B$21,"Refer to Manager","Reject - High FOIR")))))</f>
        <v>Approve</v>
      </c>
    </row>
    <row r="48" customFormat="false" ht="15" hidden="false" customHeight="false" outlineLevel="0" collapsed="false">
      <c r="A48" s="9" t="s">
        <v>134</v>
      </c>
      <c r="B48" s="9" t="s">
        <v>135</v>
      </c>
      <c r="C48" s="9" t="s">
        <v>36</v>
      </c>
      <c r="D48" s="9" t="s">
        <v>37</v>
      </c>
      <c r="E48" s="11" t="n">
        <v>39</v>
      </c>
      <c r="F48" s="12" t="n">
        <v>77000</v>
      </c>
      <c r="G48" s="11" t="n">
        <v>816</v>
      </c>
      <c r="H48" s="12" t="n">
        <v>2290000</v>
      </c>
      <c r="I48" s="11" t="n">
        <v>10</v>
      </c>
      <c r="J48" s="12" t="n">
        <v>24000</v>
      </c>
      <c r="K48" s="9" t="str">
        <f aca="false">INDEX(Policy!$B$13:$B$17,MATCH(G48,Policy!$A$13:$A$17,1))</f>
        <v>Excellent</v>
      </c>
      <c r="L48" s="13" t="n">
        <f aca="false">INDEX(Policy!$B$5:$B$9,MATCH(D48,Policy!$A$5:$A$9,0))+INDEX(Policy!$C$13:$C$17,MATCH(G48,Policy!$A$13:$A$17,1))</f>
        <v>0.0875</v>
      </c>
      <c r="M48" s="14" t="n">
        <f aca="false">PMT(L48/12,I48*12,-H48)</f>
        <v>28699.8258518392</v>
      </c>
      <c r="N48" s="15" t="n">
        <f aca="false">(M48+J48)/F48</f>
        <v>0.684413322751158</v>
      </c>
      <c r="O48" s="14" t="n">
        <f aca="false">MAX(0,ROUND(PV(L48/12,I48*12,-(INDEX(Policy!$D$5:$D$9,MATCH(D48,Policy!$A$5:$A$9,0))*F48-J48)),-4))</f>
        <v>1160000</v>
      </c>
      <c r="P48" s="9" t="str">
        <f aca="false">IF(G48&lt;INDEX(Policy!$E$5:$E$9,MATCH(D48,Policy!$A$5:$A$9,0)),"Reject - Low Score",IF(E48+I48&gt;Policy!$B$20,"Reject - Age",IF(I48&gt;INDEX(Policy!$C$5:$C$9,MATCH(D48,Policy!$A$5:$A$9,0)),"Reject - Tenure",IF(N48&lt;=INDEX(Policy!$D$5:$D$9,MATCH(D48,Policy!$A$5:$A$9,0)),"Approve",IF(N48&lt;=INDEX(Policy!$D$5:$D$9,MATCH(D48,Policy!$A$5:$A$9,0))+Policy!$B$21,"Refer to Manager","Reject - High FOIR")))))</f>
        <v>Reject - High FOIR</v>
      </c>
    </row>
    <row r="49" customFormat="false" ht="15" hidden="false" customHeight="false" outlineLevel="0" collapsed="false">
      <c r="A49" s="9" t="s">
        <v>136</v>
      </c>
      <c r="B49" s="9" t="s">
        <v>137</v>
      </c>
      <c r="C49" s="9" t="s">
        <v>51</v>
      </c>
      <c r="D49" s="9" t="s">
        <v>30</v>
      </c>
      <c r="E49" s="11" t="n">
        <v>44</v>
      </c>
      <c r="F49" s="12" t="n">
        <v>102000</v>
      </c>
      <c r="G49" s="11" t="n">
        <v>810</v>
      </c>
      <c r="H49" s="12" t="n">
        <v>630000</v>
      </c>
      <c r="I49" s="11" t="n">
        <v>7</v>
      </c>
      <c r="J49" s="12" t="n">
        <v>0</v>
      </c>
      <c r="K49" s="9" t="str">
        <f aca="false">INDEX(Policy!$B$13:$B$17,MATCH(G49,Policy!$A$13:$A$17,1))</f>
        <v>Excellent</v>
      </c>
      <c r="L49" s="13" t="n">
        <f aca="false">INDEX(Policy!$B$5:$B$9,MATCH(D49,Policy!$A$5:$A$9,0))+INDEX(Policy!$C$13:$C$17,MATCH(G49,Policy!$A$13:$A$17,1))</f>
        <v>0.0925</v>
      </c>
      <c r="M49" s="14" t="n">
        <f aca="false">PMT(L49/12,I49*12,-H49)</f>
        <v>10216.2323744914</v>
      </c>
      <c r="N49" s="15" t="n">
        <f aca="false">(M49+J49)/F49</f>
        <v>0.100159140926386</v>
      </c>
      <c r="O49" s="14" t="n">
        <f aca="false">MAX(0,ROUND(PV(L49/12,I49*12,-(INDEX(Policy!$D$5:$D$9,MATCH(D49,Policy!$A$5:$A$9,0))*F49-J49)),-4))</f>
        <v>3140000</v>
      </c>
      <c r="P49" s="9" t="str">
        <f aca="false">IF(G49&lt;INDEX(Policy!$E$5:$E$9,MATCH(D49,Policy!$A$5:$A$9,0)),"Reject - Low Score",IF(E49+I49&gt;Policy!$B$20,"Reject - Age",IF(I49&gt;INDEX(Policy!$C$5:$C$9,MATCH(D49,Policy!$A$5:$A$9,0)),"Reject - Tenure",IF(N49&lt;=INDEX(Policy!$D$5:$D$9,MATCH(D49,Policy!$A$5:$A$9,0)),"Approve",IF(N49&lt;=INDEX(Policy!$D$5:$D$9,MATCH(D49,Policy!$A$5:$A$9,0))+Policy!$B$21,"Refer to Manager","Reject - High FOIR")))))</f>
        <v>Approve</v>
      </c>
    </row>
    <row r="50" customFormat="false" ht="15" hidden="false" customHeight="false" outlineLevel="0" collapsed="false">
      <c r="A50" s="9" t="s">
        <v>138</v>
      </c>
      <c r="B50" s="9" t="s">
        <v>139</v>
      </c>
      <c r="C50" s="9" t="s">
        <v>36</v>
      </c>
      <c r="D50" s="9" t="s">
        <v>37</v>
      </c>
      <c r="E50" s="11" t="n">
        <v>28</v>
      </c>
      <c r="F50" s="12" t="n">
        <v>155000</v>
      </c>
      <c r="G50" s="11" t="n">
        <v>797</v>
      </c>
      <c r="H50" s="12" t="n">
        <v>2880000</v>
      </c>
      <c r="I50" s="11" t="n">
        <v>20</v>
      </c>
      <c r="J50" s="12" t="n">
        <v>20000</v>
      </c>
      <c r="K50" s="9" t="str">
        <f aca="false">INDEX(Policy!$B$13:$B$17,MATCH(G50,Policy!$A$13:$A$17,1))</f>
        <v>Very Good</v>
      </c>
      <c r="L50" s="13" t="n">
        <f aca="false">INDEX(Policy!$B$5:$B$9,MATCH(D50,Policy!$A$5:$A$9,0))+INDEX(Policy!$C$13:$C$17,MATCH(G50,Policy!$A$13:$A$17,1))</f>
        <v>0.09</v>
      </c>
      <c r="M50" s="14" t="n">
        <f aca="false">PMT(L50/12,I50*12,-H50)</f>
        <v>25912.107528485</v>
      </c>
      <c r="N50" s="15" t="n">
        <f aca="false">(M50+J50)/F50</f>
        <v>0.296207145345064</v>
      </c>
      <c r="O50" s="14" t="n">
        <f aca="false">MAX(0,ROUND(PV(L50/12,I50*12,-(INDEX(Policy!$D$5:$D$9,MATCH(D50,Policy!$A$5:$A$9,0))*F50-J50)),-4))</f>
        <v>6390000</v>
      </c>
      <c r="P50" s="9" t="str">
        <f aca="false">IF(G50&lt;INDEX(Policy!$E$5:$E$9,MATCH(D50,Policy!$A$5:$A$9,0)),"Reject - Low Score",IF(E50+I50&gt;Policy!$B$20,"Reject - Age",IF(I50&gt;INDEX(Policy!$C$5:$C$9,MATCH(D50,Policy!$A$5:$A$9,0)),"Reject - Tenure",IF(N50&lt;=INDEX(Policy!$D$5:$D$9,MATCH(D50,Policy!$A$5:$A$9,0)),"Approve",IF(N50&lt;=INDEX(Policy!$D$5:$D$9,MATCH(D50,Policy!$A$5:$A$9,0))+Policy!$B$21,"Refer to Manager","Reject - High FOIR")))))</f>
        <v>Approve</v>
      </c>
    </row>
    <row r="51" customFormat="false" ht="15" hidden="false" customHeight="false" outlineLevel="0" collapsed="false">
      <c r="A51" s="9" t="s">
        <v>140</v>
      </c>
      <c r="B51" s="9" t="s">
        <v>141</v>
      </c>
      <c r="C51" s="9" t="s">
        <v>51</v>
      </c>
      <c r="D51" s="9" t="s">
        <v>66</v>
      </c>
      <c r="E51" s="11" t="n">
        <v>47</v>
      </c>
      <c r="F51" s="12" t="n">
        <v>107000</v>
      </c>
      <c r="G51" s="11" t="n">
        <v>743</v>
      </c>
      <c r="H51" s="12" t="n">
        <v>1820000</v>
      </c>
      <c r="I51" s="11" t="n">
        <v>10</v>
      </c>
      <c r="J51" s="12" t="n">
        <v>0</v>
      </c>
      <c r="K51" s="9" t="str">
        <f aca="false">INDEX(Policy!$B$13:$B$17,MATCH(G51,Policy!$A$13:$A$17,1))</f>
        <v>Good</v>
      </c>
      <c r="L51" s="13" t="n">
        <f aca="false">INDEX(Policy!$B$5:$B$9,MATCH(D51,Policy!$A$5:$A$9,0))+INDEX(Policy!$C$13:$C$17,MATCH(G51,Policy!$A$13:$A$17,1))</f>
        <v>0.1025</v>
      </c>
      <c r="M51" s="14" t="n">
        <f aca="false">PMT(L51/12,I51*12,-H51)</f>
        <v>24304.0983415733</v>
      </c>
      <c r="N51" s="15" t="n">
        <f aca="false">(M51+J51)/F51</f>
        <v>0.227141105996013</v>
      </c>
      <c r="O51" s="14" t="n">
        <f aca="false">MAX(0,ROUND(PV(L51/12,I51*12,-(INDEX(Policy!$D$5:$D$9,MATCH(D51,Policy!$A$5:$A$9,0))*F51-J51)),-4))</f>
        <v>4410000</v>
      </c>
      <c r="P51" s="9" t="str">
        <f aca="false">IF(G51&lt;INDEX(Policy!$E$5:$E$9,MATCH(D51,Policy!$A$5:$A$9,0)),"Reject - Low Score",IF(E51+I51&gt;Policy!$B$20,"Reject - Age",IF(I51&gt;INDEX(Policy!$C$5:$C$9,MATCH(D51,Policy!$A$5:$A$9,0)),"Reject - Tenure",IF(N51&lt;=INDEX(Policy!$D$5:$D$9,MATCH(D51,Policy!$A$5:$A$9,0)),"Approve",IF(N51&lt;=INDEX(Policy!$D$5:$D$9,MATCH(D51,Policy!$A$5:$A$9,0))+Policy!$B$21,"Refer to Manager","Reject - High FOIR")))))</f>
        <v>Approve</v>
      </c>
    </row>
    <row r="52" customFormat="false" ht="15" hidden="false" customHeight="false" outlineLevel="0" collapsed="false">
      <c r="A52" s="9" t="s">
        <v>142</v>
      </c>
      <c r="B52" s="9" t="s">
        <v>143</v>
      </c>
      <c r="C52" s="9" t="s">
        <v>36</v>
      </c>
      <c r="D52" s="9" t="s">
        <v>30</v>
      </c>
      <c r="E52" s="11" t="n">
        <v>37</v>
      </c>
      <c r="F52" s="12" t="n">
        <v>119000</v>
      </c>
      <c r="G52" s="11" t="n">
        <v>706</v>
      </c>
      <c r="H52" s="12" t="n">
        <v>470000</v>
      </c>
      <c r="I52" s="11" t="n">
        <v>7</v>
      </c>
      <c r="J52" s="12" t="n">
        <v>37000</v>
      </c>
      <c r="K52" s="9" t="str">
        <f aca="false">INDEX(Policy!$B$13:$B$17,MATCH(G52,Policy!$A$13:$A$17,1))</f>
        <v>Good</v>
      </c>
      <c r="L52" s="13" t="n">
        <f aca="false">INDEX(Policy!$B$5:$B$9,MATCH(D52,Policy!$A$5:$A$9,0))+INDEX(Policy!$C$13:$C$17,MATCH(G52,Policy!$A$13:$A$17,1))</f>
        <v>0.1</v>
      </c>
      <c r="M52" s="14" t="n">
        <f aca="false">PMT(L52/12,I52*12,-H52)</f>
        <v>7802.55649263638</v>
      </c>
      <c r="N52" s="15" t="n">
        <f aca="false">(M52+J52)/F52</f>
        <v>0.376492071366692</v>
      </c>
      <c r="O52" s="14" t="n">
        <f aca="false">MAX(0,ROUND(PV(L52/12,I52*12,-(INDEX(Policy!$D$5:$D$9,MATCH(D52,Policy!$A$5:$A$9,0))*F52-J52)),-4))</f>
        <v>1360000</v>
      </c>
      <c r="P52" s="9" t="str">
        <f aca="false">IF(G52&lt;INDEX(Policy!$E$5:$E$9,MATCH(D52,Policy!$A$5:$A$9,0)),"Reject - Low Score",IF(E52+I52&gt;Policy!$B$20,"Reject - Age",IF(I52&gt;INDEX(Policy!$C$5:$C$9,MATCH(D52,Policy!$A$5:$A$9,0)),"Reject - Tenure",IF(N52&lt;=INDEX(Policy!$D$5:$D$9,MATCH(D52,Policy!$A$5:$A$9,0)),"Approve",IF(N52&lt;=INDEX(Policy!$D$5:$D$9,MATCH(D52,Policy!$A$5:$A$9,0))+Policy!$B$21,"Refer to Manager","Reject - High FOIR")))))</f>
        <v>Approve</v>
      </c>
    </row>
    <row r="53" customFormat="false" ht="15" hidden="false" customHeight="false" outlineLevel="0" collapsed="false">
      <c r="A53" s="9" t="s">
        <v>144</v>
      </c>
      <c r="B53" s="9" t="s">
        <v>145</v>
      </c>
      <c r="C53" s="9" t="s">
        <v>115</v>
      </c>
      <c r="D53" s="9" t="s">
        <v>66</v>
      </c>
      <c r="E53" s="11" t="n">
        <v>41</v>
      </c>
      <c r="F53" s="12" t="n">
        <v>69000</v>
      </c>
      <c r="G53" s="11" t="n">
        <v>684</v>
      </c>
      <c r="H53" s="12" t="n">
        <v>1020000</v>
      </c>
      <c r="I53" s="11" t="n">
        <v>7</v>
      </c>
      <c r="J53" s="12" t="n">
        <v>19500</v>
      </c>
      <c r="K53" s="9" t="str">
        <f aca="false">INDEX(Policy!$B$13:$B$17,MATCH(G53,Policy!$A$13:$A$17,1))</f>
        <v>Fair</v>
      </c>
      <c r="L53" s="13" t="n">
        <f aca="false">INDEX(Policy!$B$5:$B$9,MATCH(D53,Policy!$A$5:$A$9,0))+INDEX(Policy!$C$13:$C$17,MATCH(G53,Policy!$A$13:$A$17,1))</f>
        <v>0.11</v>
      </c>
      <c r="M53" s="14" t="n">
        <f aca="false">PMT(L53/12,I53*12,-H53)</f>
        <v>17464.8851635967</v>
      </c>
      <c r="N53" s="15" t="n">
        <f aca="false">(M53+J53)/F53</f>
        <v>0.53572297338546</v>
      </c>
      <c r="O53" s="14" t="n">
        <f aca="false">MAX(0,ROUND(PV(L53/12,I53*12,-(INDEX(Policy!$D$5:$D$9,MATCH(D53,Policy!$A$5:$A$9,0))*F53-J53)),-4))</f>
        <v>1080000</v>
      </c>
      <c r="P53" s="9" t="str">
        <f aca="false">IF(G53&lt;INDEX(Policy!$E$5:$E$9,MATCH(D53,Policy!$A$5:$A$9,0)),"Reject - Low Score",IF(E53+I53&gt;Policy!$B$20,"Reject - Age",IF(I53&gt;INDEX(Policy!$C$5:$C$9,MATCH(D53,Policy!$A$5:$A$9,0)),"Reject - Tenure",IF(N53&lt;=INDEX(Policy!$D$5:$D$9,MATCH(D53,Policy!$A$5:$A$9,0)),"Approve",IF(N53&lt;=INDEX(Policy!$D$5:$D$9,MATCH(D53,Policy!$A$5:$A$9,0))+Policy!$B$21,"Refer to Manager","Reject - High FOIR")))))</f>
        <v>Approve</v>
      </c>
    </row>
    <row r="54" customFormat="false" ht="15" hidden="false" customHeight="false" outlineLevel="0" collapsed="false">
      <c r="A54" s="9" t="s">
        <v>146</v>
      </c>
      <c r="B54" s="9" t="s">
        <v>147</v>
      </c>
      <c r="C54" s="9" t="s">
        <v>36</v>
      </c>
      <c r="D54" s="9" t="s">
        <v>30</v>
      </c>
      <c r="E54" s="11" t="n">
        <v>34</v>
      </c>
      <c r="F54" s="12" t="n">
        <v>146000</v>
      </c>
      <c r="G54" s="11" t="n">
        <v>846</v>
      </c>
      <c r="H54" s="12" t="n">
        <v>820000</v>
      </c>
      <c r="I54" s="11" t="n">
        <v>5</v>
      </c>
      <c r="J54" s="12" t="n">
        <v>25500</v>
      </c>
      <c r="K54" s="9" t="str">
        <f aca="false">INDEX(Policy!$B$13:$B$17,MATCH(G54,Policy!$A$13:$A$17,1))</f>
        <v>Excellent</v>
      </c>
      <c r="L54" s="13" t="n">
        <f aca="false">INDEX(Policy!$B$5:$B$9,MATCH(D54,Policy!$A$5:$A$9,0))+INDEX(Policy!$C$13:$C$17,MATCH(G54,Policy!$A$13:$A$17,1))</f>
        <v>0.0925</v>
      </c>
      <c r="M54" s="14" t="n">
        <f aca="false">PMT(L54/12,I54*12,-H54)</f>
        <v>17121.516601682</v>
      </c>
      <c r="N54" s="15" t="n">
        <f aca="false">(M54+J54)/F54</f>
        <v>0.291928195901932</v>
      </c>
      <c r="O54" s="14" t="n">
        <f aca="false">MAX(0,ROUND(PV(L54/12,I54*12,-(INDEX(Policy!$D$5:$D$9,MATCH(D54,Policy!$A$5:$A$9,0))*F54-J54)),-4))</f>
        <v>2270000</v>
      </c>
      <c r="P54" s="9" t="str">
        <f aca="false">IF(G54&lt;INDEX(Policy!$E$5:$E$9,MATCH(D54,Policy!$A$5:$A$9,0)),"Reject - Low Score",IF(E54+I54&gt;Policy!$B$20,"Reject - Age",IF(I54&gt;INDEX(Policy!$C$5:$C$9,MATCH(D54,Policy!$A$5:$A$9,0)),"Reject - Tenure",IF(N54&lt;=INDEX(Policy!$D$5:$D$9,MATCH(D54,Policy!$A$5:$A$9,0)),"Approve",IF(N54&lt;=INDEX(Policy!$D$5:$D$9,MATCH(D54,Policy!$A$5:$A$9,0))+Policy!$B$21,"Refer to Manager","Reject - High FOIR")))))</f>
        <v>Approve</v>
      </c>
    </row>
    <row r="55" customFormat="false" ht="15" hidden="false" customHeight="false" outlineLevel="0" collapsed="false">
      <c r="A55" s="9" t="s">
        <v>148</v>
      </c>
      <c r="B55" s="9" t="s">
        <v>149</v>
      </c>
      <c r="C55" s="9" t="s">
        <v>59</v>
      </c>
      <c r="D55" s="9" t="s">
        <v>30</v>
      </c>
      <c r="E55" s="11" t="n">
        <v>26</v>
      </c>
      <c r="F55" s="12" t="n">
        <v>46000</v>
      </c>
      <c r="G55" s="11" t="n">
        <v>775</v>
      </c>
      <c r="H55" s="12" t="n">
        <v>380000</v>
      </c>
      <c r="I55" s="11" t="n">
        <v>4</v>
      </c>
      <c r="J55" s="12" t="n">
        <v>10000</v>
      </c>
      <c r="K55" s="9" t="str">
        <f aca="false">INDEX(Policy!$B$13:$B$17,MATCH(G55,Policy!$A$13:$A$17,1))</f>
        <v>Very Good</v>
      </c>
      <c r="L55" s="13" t="n">
        <f aca="false">INDEX(Policy!$B$5:$B$9,MATCH(D55,Policy!$A$5:$A$9,0))+INDEX(Policy!$C$13:$C$17,MATCH(G55,Policy!$A$13:$A$17,1))</f>
        <v>0.095</v>
      </c>
      <c r="M55" s="14" t="n">
        <f aca="false">PMT(L55/12,I55*12,-H55)</f>
        <v>9546.79193495557</v>
      </c>
      <c r="N55" s="15" t="n">
        <f aca="false">(M55+J55)/F55</f>
        <v>0.424930259455556</v>
      </c>
      <c r="O55" s="14" t="n">
        <f aca="false">MAX(0,ROUND(PV(L55/12,I55*12,-(INDEX(Policy!$D$5:$D$9,MATCH(D55,Policy!$A$5:$A$9,0))*F55-J55)),-4))</f>
        <v>520000</v>
      </c>
      <c r="P55" s="9" t="str">
        <f aca="false">IF(G55&lt;INDEX(Policy!$E$5:$E$9,MATCH(D55,Policy!$A$5:$A$9,0)),"Reject - Low Score",IF(E55+I55&gt;Policy!$B$20,"Reject - Age",IF(I55&gt;INDEX(Policy!$C$5:$C$9,MATCH(D55,Policy!$A$5:$A$9,0)),"Reject - Tenure",IF(N55&lt;=INDEX(Policy!$D$5:$D$9,MATCH(D55,Policy!$A$5:$A$9,0)),"Approve",IF(N55&lt;=INDEX(Policy!$D$5:$D$9,MATCH(D55,Policy!$A$5:$A$9,0))+Policy!$B$21,"Refer to Manager","Reject - High FOIR")))))</f>
        <v>Approve</v>
      </c>
    </row>
    <row r="56" customFormat="false" ht="15" hidden="false" customHeight="false" outlineLevel="0" collapsed="false">
      <c r="A56" s="9" t="s">
        <v>150</v>
      </c>
      <c r="B56" s="9" t="s">
        <v>151</v>
      </c>
      <c r="C56" s="9" t="s">
        <v>36</v>
      </c>
      <c r="D56" s="9" t="s">
        <v>41</v>
      </c>
      <c r="E56" s="11" t="n">
        <v>41</v>
      </c>
      <c r="F56" s="12" t="n">
        <v>70000</v>
      </c>
      <c r="G56" s="11" t="n">
        <v>687</v>
      </c>
      <c r="H56" s="12" t="n">
        <v>370000</v>
      </c>
      <c r="I56" s="11" t="n">
        <v>2</v>
      </c>
      <c r="J56" s="12" t="n">
        <v>6500</v>
      </c>
      <c r="K56" s="9" t="str">
        <f aca="false">INDEX(Policy!$B$13:$B$17,MATCH(G56,Policy!$A$13:$A$17,1))</f>
        <v>Fair</v>
      </c>
      <c r="L56" s="13" t="n">
        <f aca="false">INDEX(Policy!$B$5:$B$9,MATCH(D56,Policy!$A$5:$A$9,0))+INDEX(Policy!$C$13:$C$17,MATCH(G56,Policy!$A$13:$A$17,1))</f>
        <v>0.13</v>
      </c>
      <c r="M56" s="14" t="n">
        <f aca="false">PMT(L56/12,I56*12,-H56)</f>
        <v>17590.4743577269</v>
      </c>
      <c r="N56" s="15" t="n">
        <f aca="false">(M56+J56)/F56</f>
        <v>0.344149633681812</v>
      </c>
      <c r="O56" s="14" t="n">
        <f aca="false">MAX(0,ROUND(PV(L56/12,I56*12,-(INDEX(Policy!$D$5:$D$9,MATCH(D56,Policy!$A$5:$A$9,0))*F56-J56)),-4))</f>
        <v>530000</v>
      </c>
      <c r="P56" s="9" t="str">
        <f aca="false">IF(G56&lt;INDEX(Policy!$E$5:$E$9,MATCH(D56,Policy!$A$5:$A$9,0)),"Reject - Low Score",IF(E56+I56&gt;Policy!$B$20,"Reject - Age",IF(I56&gt;INDEX(Policy!$C$5:$C$9,MATCH(D56,Policy!$A$5:$A$9,0)),"Reject - Tenure",IF(N56&lt;=INDEX(Policy!$D$5:$D$9,MATCH(D56,Policy!$A$5:$A$9,0)),"Approve",IF(N56&lt;=INDEX(Policy!$D$5:$D$9,MATCH(D56,Policy!$A$5:$A$9,0))+Policy!$B$21,"Refer to Manager","Reject - High FOIR")))))</f>
        <v>Reject - Low Score</v>
      </c>
    </row>
    <row r="57" customFormat="false" ht="15" hidden="false" customHeight="false" outlineLevel="0" collapsed="false">
      <c r="A57" s="9" t="s">
        <v>152</v>
      </c>
      <c r="B57" s="9" t="s">
        <v>153</v>
      </c>
      <c r="C57" s="9" t="s">
        <v>59</v>
      </c>
      <c r="D57" s="9" t="s">
        <v>66</v>
      </c>
      <c r="E57" s="11" t="n">
        <v>48</v>
      </c>
      <c r="F57" s="12" t="n">
        <v>132000</v>
      </c>
      <c r="G57" s="11" t="n">
        <v>768</v>
      </c>
      <c r="H57" s="12" t="n">
        <v>1930000</v>
      </c>
      <c r="I57" s="11" t="n">
        <v>5</v>
      </c>
      <c r="J57" s="12" t="n">
        <v>16000</v>
      </c>
      <c r="K57" s="9" t="str">
        <f aca="false">INDEX(Policy!$B$13:$B$17,MATCH(G57,Policy!$A$13:$A$17,1))</f>
        <v>Very Good</v>
      </c>
      <c r="L57" s="13" t="n">
        <f aca="false">INDEX(Policy!$B$5:$B$9,MATCH(D57,Policy!$A$5:$A$9,0))+INDEX(Policy!$C$13:$C$17,MATCH(G57,Policy!$A$13:$A$17,1))</f>
        <v>0.0975</v>
      </c>
      <c r="M57" s="14" t="n">
        <f aca="false">PMT(L57/12,I57*12,-H57)</f>
        <v>40769.7902583325</v>
      </c>
      <c r="N57" s="15" t="n">
        <f aca="false">(M57+J57)/F57</f>
        <v>0.430074168623731</v>
      </c>
      <c r="O57" s="14" t="n">
        <f aca="false">MAX(0,ROUND(PV(L57/12,I57*12,-(INDEX(Policy!$D$5:$D$9,MATCH(D57,Policy!$A$5:$A$9,0))*F57-J57)),-4))</f>
        <v>2680000</v>
      </c>
      <c r="P57" s="9" t="str">
        <f aca="false">IF(G57&lt;INDEX(Policy!$E$5:$E$9,MATCH(D57,Policy!$A$5:$A$9,0)),"Reject - Low Score",IF(E57+I57&gt;Policy!$B$20,"Reject - Age",IF(I57&gt;INDEX(Policy!$C$5:$C$9,MATCH(D57,Policy!$A$5:$A$9,0)),"Reject - Tenure",IF(N57&lt;=INDEX(Policy!$D$5:$D$9,MATCH(D57,Policy!$A$5:$A$9,0)),"Approve",IF(N57&lt;=INDEX(Policy!$D$5:$D$9,MATCH(D57,Policy!$A$5:$A$9,0))+Policy!$B$21,"Refer to Manager","Reject - High FOIR")))))</f>
        <v>Approve</v>
      </c>
    </row>
    <row r="58" customFormat="false" ht="15" hidden="false" customHeight="false" outlineLevel="0" collapsed="false">
      <c r="A58" s="9" t="s">
        <v>154</v>
      </c>
      <c r="B58" s="9" t="s">
        <v>155</v>
      </c>
      <c r="C58" s="9" t="s">
        <v>40</v>
      </c>
      <c r="D58" s="9" t="s">
        <v>37</v>
      </c>
      <c r="E58" s="11" t="n">
        <v>38</v>
      </c>
      <c r="F58" s="12" t="n">
        <v>75000</v>
      </c>
      <c r="G58" s="11" t="n">
        <v>750</v>
      </c>
      <c r="H58" s="12" t="n">
        <v>2980000</v>
      </c>
      <c r="I58" s="11" t="n">
        <v>20</v>
      </c>
      <c r="J58" s="12" t="n">
        <v>11500</v>
      </c>
      <c r="K58" s="9" t="str">
        <f aca="false">INDEX(Policy!$B$13:$B$17,MATCH(G58,Policy!$A$13:$A$17,1))</f>
        <v>Very Good</v>
      </c>
      <c r="L58" s="13" t="n">
        <f aca="false">INDEX(Policy!$B$5:$B$9,MATCH(D58,Policy!$A$5:$A$9,0))+INDEX(Policy!$C$13:$C$17,MATCH(G58,Policy!$A$13:$A$17,1))</f>
        <v>0.09</v>
      </c>
      <c r="M58" s="14" t="n">
        <f aca="false">PMT(L58/12,I58*12,-H58)</f>
        <v>26811.8334843352</v>
      </c>
      <c r="N58" s="15" t="n">
        <f aca="false">(M58+J58)/F58</f>
        <v>0.510824446457802</v>
      </c>
      <c r="O58" s="14" t="n">
        <f aca="false">MAX(0,ROUND(PV(L58/12,I58*12,-(INDEX(Policy!$D$5:$D$9,MATCH(D58,Policy!$A$5:$A$9,0))*F58-J58)),-4))</f>
        <v>2890000</v>
      </c>
      <c r="P58" s="9" t="str">
        <f aca="false">IF(G58&lt;INDEX(Policy!$E$5:$E$9,MATCH(D58,Policy!$A$5:$A$9,0)),"Reject - Low Score",IF(E58+I58&gt;Policy!$B$20,"Reject - Age",IF(I58&gt;INDEX(Policy!$C$5:$C$9,MATCH(D58,Policy!$A$5:$A$9,0)),"Reject - Tenure",IF(N58&lt;=INDEX(Policy!$D$5:$D$9,MATCH(D58,Policy!$A$5:$A$9,0)),"Approve",IF(N58&lt;=INDEX(Policy!$D$5:$D$9,MATCH(D58,Policy!$A$5:$A$9,0))+Policy!$B$21,"Refer to Manager","Reject - High FOIR")))))</f>
        <v>Refer to Manager</v>
      </c>
    </row>
    <row r="59" customFormat="false" ht="15" hidden="false" customHeight="false" outlineLevel="0" collapsed="false">
      <c r="A59" s="9" t="s">
        <v>156</v>
      </c>
      <c r="B59" s="9" t="s">
        <v>157</v>
      </c>
      <c r="C59" s="9" t="s">
        <v>29</v>
      </c>
      <c r="D59" s="9" t="s">
        <v>37</v>
      </c>
      <c r="E59" s="11" t="n">
        <v>39</v>
      </c>
      <c r="F59" s="12" t="n">
        <v>55000</v>
      </c>
      <c r="G59" s="11" t="n">
        <v>779</v>
      </c>
      <c r="H59" s="12" t="n">
        <v>2100000</v>
      </c>
      <c r="I59" s="11" t="n">
        <v>10</v>
      </c>
      <c r="J59" s="12" t="n">
        <v>0</v>
      </c>
      <c r="K59" s="9" t="str">
        <f aca="false">INDEX(Policy!$B$13:$B$17,MATCH(G59,Policy!$A$13:$A$17,1))</f>
        <v>Very Good</v>
      </c>
      <c r="L59" s="13" t="n">
        <f aca="false">INDEX(Policy!$B$5:$B$9,MATCH(D59,Policy!$A$5:$A$9,0))+INDEX(Policy!$C$13:$C$17,MATCH(G59,Policy!$A$13:$A$17,1))</f>
        <v>0.09</v>
      </c>
      <c r="M59" s="14" t="n">
        <f aca="false">PMT(L59/12,I59*12,-H59)</f>
        <v>26601.9124875524</v>
      </c>
      <c r="N59" s="15" t="n">
        <f aca="false">(M59+J59)/F59</f>
        <v>0.483671136137316</v>
      </c>
      <c r="O59" s="14" t="n">
        <f aca="false">MAX(0,ROUND(PV(L59/12,I59*12,-(INDEX(Policy!$D$5:$D$9,MATCH(D59,Policy!$A$5:$A$9,0))*F59-J59)),-4))</f>
        <v>2170000</v>
      </c>
      <c r="P59" s="9" t="str">
        <f aca="false">IF(G59&lt;INDEX(Policy!$E$5:$E$9,MATCH(D59,Policy!$A$5:$A$9,0)),"Reject - Low Score",IF(E59+I59&gt;Policy!$B$20,"Reject - Age",IF(I59&gt;INDEX(Policy!$C$5:$C$9,MATCH(D59,Policy!$A$5:$A$9,0)),"Reject - Tenure",IF(N59&lt;=INDEX(Policy!$D$5:$D$9,MATCH(D59,Policy!$A$5:$A$9,0)),"Approve",IF(N59&lt;=INDEX(Policy!$D$5:$D$9,MATCH(D59,Policy!$A$5:$A$9,0))+Policy!$B$21,"Refer to Manager","Reject - High FOIR")))))</f>
        <v>Approve</v>
      </c>
    </row>
    <row r="60" customFormat="false" ht="15" hidden="false" customHeight="false" outlineLevel="0" collapsed="false">
      <c r="A60" s="9" t="s">
        <v>158</v>
      </c>
      <c r="B60" s="9" t="s">
        <v>159</v>
      </c>
      <c r="C60" s="9" t="s">
        <v>29</v>
      </c>
      <c r="D60" s="9" t="s">
        <v>33</v>
      </c>
      <c r="E60" s="11" t="n">
        <v>44</v>
      </c>
      <c r="F60" s="12" t="n">
        <v>48000</v>
      </c>
      <c r="G60" s="11" t="n">
        <v>694</v>
      </c>
      <c r="H60" s="12" t="n">
        <v>730000</v>
      </c>
      <c r="I60" s="11" t="n">
        <v>7</v>
      </c>
      <c r="J60" s="12" t="n">
        <v>0</v>
      </c>
      <c r="K60" s="9" t="str">
        <f aca="false">INDEX(Policy!$B$13:$B$17,MATCH(G60,Policy!$A$13:$A$17,1))</f>
        <v>Fair</v>
      </c>
      <c r="L60" s="13" t="n">
        <f aca="false">INDEX(Policy!$B$5:$B$9,MATCH(D60,Policy!$A$5:$A$9,0))+INDEX(Policy!$C$13:$C$17,MATCH(G60,Policy!$A$13:$A$17,1))</f>
        <v>0.135</v>
      </c>
      <c r="M60" s="14" t="n">
        <f aca="false">PMT(L60/12,I60*12,-H60)</f>
        <v>13479.3717415929</v>
      </c>
      <c r="N60" s="15" t="n">
        <f aca="false">(M60+J60)/F60</f>
        <v>0.280820244616518</v>
      </c>
      <c r="O60" s="14" t="n">
        <f aca="false">MAX(0,ROUND(PV(L60/12,I60*12,-(INDEX(Policy!$D$5:$D$9,MATCH(D60,Policy!$A$5:$A$9,0))*F60-J60)),-4))</f>
        <v>1300000</v>
      </c>
      <c r="P60" s="9" t="str">
        <f aca="false">IF(G60&lt;INDEX(Policy!$E$5:$E$9,MATCH(D60,Policy!$A$5:$A$9,0)),"Reject - Low Score",IF(E60+I60&gt;Policy!$B$20,"Reject - Age",IF(I60&gt;INDEX(Policy!$C$5:$C$9,MATCH(D60,Policy!$A$5:$A$9,0)),"Reject - Tenure",IF(N60&lt;=INDEX(Policy!$D$5:$D$9,MATCH(D60,Policy!$A$5:$A$9,0)),"Approve",IF(N60&lt;=INDEX(Policy!$D$5:$D$9,MATCH(D60,Policy!$A$5:$A$9,0))+Policy!$B$21,"Refer to Manager","Reject - High FOIR")))))</f>
        <v>Reject - Low Score</v>
      </c>
    </row>
    <row r="61" customFormat="false" ht="15" hidden="false" customHeight="false" outlineLevel="0" collapsed="false">
      <c r="A61" s="9" t="s">
        <v>160</v>
      </c>
      <c r="B61" s="9" t="s">
        <v>161</v>
      </c>
      <c r="C61" s="9" t="s">
        <v>51</v>
      </c>
      <c r="D61" s="9" t="s">
        <v>37</v>
      </c>
      <c r="E61" s="11" t="n">
        <v>28</v>
      </c>
      <c r="F61" s="12" t="n">
        <v>33000</v>
      </c>
      <c r="G61" s="11" t="n">
        <v>637</v>
      </c>
      <c r="H61" s="12" t="n">
        <v>620000</v>
      </c>
      <c r="I61" s="11" t="n">
        <v>30</v>
      </c>
      <c r="J61" s="12" t="n">
        <v>0</v>
      </c>
      <c r="K61" s="9" t="str">
        <f aca="false">INDEX(Policy!$B$13:$B$17,MATCH(G61,Policy!$A$13:$A$17,1))</f>
        <v>Poor</v>
      </c>
      <c r="L61" s="13" t="n">
        <f aca="false">INDEX(Policy!$B$5:$B$9,MATCH(D61,Policy!$A$5:$A$9,0))+INDEX(Policy!$C$13:$C$17,MATCH(G61,Policy!$A$13:$A$17,1))</f>
        <v>0.1125</v>
      </c>
      <c r="M61" s="14" t="n">
        <f aca="false">PMT(L61/12,I61*12,-H61)</f>
        <v>6021.82059902584</v>
      </c>
      <c r="N61" s="15" t="n">
        <f aca="false">(M61+J61)/F61</f>
        <v>0.182479412091692</v>
      </c>
      <c r="O61" s="14" t="n">
        <f aca="false">MAX(0,ROUND(PV(L61/12,I61*12,-(INDEX(Policy!$D$5:$D$9,MATCH(D61,Policy!$A$5:$A$9,0))*F61-J61)),-4))</f>
        <v>1700000</v>
      </c>
      <c r="P61" s="9" t="str">
        <f aca="false">IF(G61&lt;INDEX(Policy!$E$5:$E$9,MATCH(D61,Policy!$A$5:$A$9,0)),"Reject - Low Score",IF(E61+I61&gt;Policy!$B$20,"Reject - Age",IF(I61&gt;INDEX(Policy!$C$5:$C$9,MATCH(D61,Policy!$A$5:$A$9,0)),"Reject - Tenure",IF(N61&lt;=INDEX(Policy!$D$5:$D$9,MATCH(D61,Policy!$A$5:$A$9,0)),"Approve",IF(N61&lt;=INDEX(Policy!$D$5:$D$9,MATCH(D61,Policy!$A$5:$A$9,0))+Policy!$B$21,"Refer to Manager","Reject - High FOIR")))))</f>
        <v>Reject - Low Score</v>
      </c>
    </row>
    <row r="62" customFormat="false" ht="15" hidden="false" customHeight="false" outlineLevel="0" collapsed="false">
      <c r="A62" s="9" t="s">
        <v>162</v>
      </c>
      <c r="B62" s="9" t="s">
        <v>163</v>
      </c>
      <c r="C62" s="9" t="s">
        <v>40</v>
      </c>
      <c r="D62" s="9" t="s">
        <v>41</v>
      </c>
      <c r="E62" s="11" t="n">
        <v>38</v>
      </c>
      <c r="F62" s="12" t="n">
        <v>79000</v>
      </c>
      <c r="G62" s="11" t="n">
        <v>752</v>
      </c>
      <c r="H62" s="12" t="n">
        <v>260000</v>
      </c>
      <c r="I62" s="11" t="n">
        <v>3</v>
      </c>
      <c r="J62" s="12" t="n">
        <v>10000</v>
      </c>
      <c r="K62" s="9" t="str">
        <f aca="false">INDEX(Policy!$B$13:$B$17,MATCH(G62,Policy!$A$13:$A$17,1))</f>
        <v>Very Good</v>
      </c>
      <c r="L62" s="13" t="n">
        <f aca="false">INDEX(Policy!$B$5:$B$9,MATCH(D62,Policy!$A$5:$A$9,0))+INDEX(Policy!$C$13:$C$17,MATCH(G62,Policy!$A$13:$A$17,1))</f>
        <v>0.1175</v>
      </c>
      <c r="M62" s="14" t="n">
        <f aca="false">PMT(L62/12,I62*12,-H62)</f>
        <v>8604.70818190791</v>
      </c>
      <c r="N62" s="15" t="n">
        <f aca="false">(M62+J62)/F62</f>
        <v>0.235502635214024</v>
      </c>
      <c r="O62" s="14" t="n">
        <f aca="false">MAX(0,ROUND(PV(L62/12,I62*12,-(INDEX(Policy!$D$5:$D$9,MATCH(D62,Policy!$A$5:$A$9,0))*F62-J62)),-4))</f>
        <v>770000</v>
      </c>
      <c r="P62" s="9" t="str">
        <f aca="false">IF(G62&lt;INDEX(Policy!$E$5:$E$9,MATCH(D62,Policy!$A$5:$A$9,0)),"Reject - Low Score",IF(E62+I62&gt;Policy!$B$20,"Reject - Age",IF(I62&gt;INDEX(Policy!$C$5:$C$9,MATCH(D62,Policy!$A$5:$A$9,0)),"Reject - Tenure",IF(N62&lt;=INDEX(Policy!$D$5:$D$9,MATCH(D62,Policy!$A$5:$A$9,0)),"Approve",IF(N62&lt;=INDEX(Policy!$D$5:$D$9,MATCH(D62,Policy!$A$5:$A$9,0))+Policy!$B$21,"Refer to Manager","Reject - High FOIR")))))</f>
        <v>Approve</v>
      </c>
    </row>
    <row r="63" customFormat="false" ht="15" hidden="false" customHeight="false" outlineLevel="0" collapsed="false">
      <c r="A63" s="9" t="s">
        <v>164</v>
      </c>
      <c r="B63" s="9" t="s">
        <v>165</v>
      </c>
      <c r="C63" s="9" t="s">
        <v>29</v>
      </c>
      <c r="D63" s="9" t="s">
        <v>30</v>
      </c>
      <c r="E63" s="11" t="n">
        <v>33</v>
      </c>
      <c r="F63" s="12" t="n">
        <v>53000</v>
      </c>
      <c r="G63" s="11" t="n">
        <v>806</v>
      </c>
      <c r="H63" s="12" t="n">
        <v>550000</v>
      </c>
      <c r="I63" s="11" t="n">
        <v>3</v>
      </c>
      <c r="J63" s="12" t="n">
        <v>0</v>
      </c>
      <c r="K63" s="9" t="str">
        <f aca="false">INDEX(Policy!$B$13:$B$17,MATCH(G63,Policy!$A$13:$A$17,1))</f>
        <v>Excellent</v>
      </c>
      <c r="L63" s="13" t="n">
        <f aca="false">INDEX(Policy!$B$5:$B$9,MATCH(D63,Policy!$A$5:$A$9,0))+INDEX(Policy!$C$13:$C$17,MATCH(G63,Policy!$A$13:$A$17,1))</f>
        <v>0.0925</v>
      </c>
      <c r="M63" s="14" t="n">
        <f aca="false">PMT(L63/12,I63*12,-H63)</f>
        <v>17553.9174584551</v>
      </c>
      <c r="N63" s="15" t="n">
        <f aca="false">(M63+J63)/F63</f>
        <v>0.331205989782172</v>
      </c>
      <c r="O63" s="14" t="n">
        <f aca="false">MAX(0,ROUND(PV(L63/12,I63*12,-(INDEX(Policy!$D$5:$D$9,MATCH(D63,Policy!$A$5:$A$9,0))*F63-J63)),-4))</f>
        <v>830000</v>
      </c>
      <c r="P63" s="9" t="str">
        <f aca="false">IF(G63&lt;INDEX(Policy!$E$5:$E$9,MATCH(D63,Policy!$A$5:$A$9,0)),"Reject - Low Score",IF(E63+I63&gt;Policy!$B$20,"Reject - Age",IF(I63&gt;INDEX(Policy!$C$5:$C$9,MATCH(D63,Policy!$A$5:$A$9,0)),"Reject - Tenure",IF(N63&lt;=INDEX(Policy!$D$5:$D$9,MATCH(D63,Policy!$A$5:$A$9,0)),"Approve",IF(N63&lt;=INDEX(Policy!$D$5:$D$9,MATCH(D63,Policy!$A$5:$A$9,0))+Policy!$B$21,"Refer to Manager","Reject - High FOIR")))))</f>
        <v>Approve</v>
      </c>
    </row>
    <row r="64" customFormat="false" ht="15" hidden="false" customHeight="false" outlineLevel="0" collapsed="false">
      <c r="A64" s="9" t="s">
        <v>166</v>
      </c>
      <c r="B64" s="9" t="s">
        <v>167</v>
      </c>
      <c r="C64" s="9" t="s">
        <v>36</v>
      </c>
      <c r="D64" s="9" t="s">
        <v>37</v>
      </c>
      <c r="E64" s="11" t="n">
        <v>35</v>
      </c>
      <c r="F64" s="12" t="n">
        <v>48000</v>
      </c>
      <c r="G64" s="11" t="n">
        <v>668</v>
      </c>
      <c r="H64" s="12" t="n">
        <v>1310000</v>
      </c>
      <c r="I64" s="11" t="n">
        <v>30</v>
      </c>
      <c r="J64" s="12" t="n">
        <v>0</v>
      </c>
      <c r="K64" s="9" t="str">
        <f aca="false">INDEX(Policy!$B$13:$B$17,MATCH(G64,Policy!$A$13:$A$17,1))</f>
        <v>Fair</v>
      </c>
      <c r="L64" s="13" t="n">
        <f aca="false">INDEX(Policy!$B$5:$B$9,MATCH(D64,Policy!$A$5:$A$9,0))+INDEX(Policy!$C$13:$C$17,MATCH(G64,Policy!$A$13:$A$17,1))</f>
        <v>0.1025</v>
      </c>
      <c r="M64" s="14" t="n">
        <f aca="false">PMT(L64/12,I64*12,-H64)</f>
        <v>11738.926979386</v>
      </c>
      <c r="N64" s="15" t="n">
        <f aca="false">(M64+J64)/F64</f>
        <v>0.244560978737208</v>
      </c>
      <c r="O64" s="14" t="n">
        <f aca="false">MAX(0,ROUND(PV(L64/12,I64*12,-(INDEX(Policy!$D$5:$D$9,MATCH(D64,Policy!$A$5:$A$9,0))*F64-J64)),-4))</f>
        <v>2680000</v>
      </c>
      <c r="P64" s="9" t="str">
        <f aca="false">IF(G64&lt;INDEX(Policy!$E$5:$E$9,MATCH(D64,Policy!$A$5:$A$9,0)),"Reject - Low Score",IF(E64+I64&gt;Policy!$B$20,"Reject - Age",IF(I64&gt;INDEX(Policy!$C$5:$C$9,MATCH(D64,Policy!$A$5:$A$9,0)),"Reject - Tenure",IF(N64&lt;=INDEX(Policy!$D$5:$D$9,MATCH(D64,Policy!$A$5:$A$9,0)),"Approve",IF(N64&lt;=INDEX(Policy!$D$5:$D$9,MATCH(D64,Policy!$A$5:$A$9,0))+Policy!$B$21,"Refer to Manager","Reject - High FOIR")))))</f>
        <v>Reject - Low Score</v>
      </c>
    </row>
    <row r="65" customFormat="false" ht="15" hidden="false" customHeight="false" outlineLevel="0" collapsed="false">
      <c r="A65" s="9" t="s">
        <v>168</v>
      </c>
      <c r="B65" s="9" t="s">
        <v>169</v>
      </c>
      <c r="C65" s="9" t="s">
        <v>29</v>
      </c>
      <c r="D65" s="9" t="s">
        <v>37</v>
      </c>
      <c r="E65" s="11" t="n">
        <v>32</v>
      </c>
      <c r="F65" s="12" t="n">
        <v>74000</v>
      </c>
      <c r="G65" s="11" t="n">
        <v>745</v>
      </c>
      <c r="H65" s="12" t="n">
        <v>2760000</v>
      </c>
      <c r="I65" s="11" t="n">
        <v>20</v>
      </c>
      <c r="J65" s="12" t="n">
        <v>12500</v>
      </c>
      <c r="K65" s="9" t="str">
        <f aca="false">INDEX(Policy!$B$13:$B$17,MATCH(G65,Policy!$A$13:$A$17,1))</f>
        <v>Good</v>
      </c>
      <c r="L65" s="13" t="n">
        <f aca="false">INDEX(Policy!$B$5:$B$9,MATCH(D65,Policy!$A$5:$A$9,0))+INDEX(Policy!$C$13:$C$17,MATCH(G65,Policy!$A$13:$A$17,1))</f>
        <v>0.095</v>
      </c>
      <c r="M65" s="14" t="n">
        <f aca="false">PMT(L65/12,I65*12,-H65)</f>
        <v>25726.8207842051</v>
      </c>
      <c r="N65" s="15" t="n">
        <f aca="false">(M65+J65)/F65</f>
        <v>0.516578659246015</v>
      </c>
      <c r="O65" s="14" t="n">
        <f aca="false">MAX(0,ROUND(PV(L65/12,I65*12,-(INDEX(Policy!$D$5:$D$9,MATCH(D65,Policy!$A$5:$A$9,0))*F65-J65)),-4))</f>
        <v>2630000</v>
      </c>
      <c r="P65" s="9" t="str">
        <f aca="false">IF(G65&lt;INDEX(Policy!$E$5:$E$9,MATCH(D65,Policy!$A$5:$A$9,0)),"Reject - Low Score",IF(E65+I65&gt;Policy!$B$20,"Reject - Age",IF(I65&gt;INDEX(Policy!$C$5:$C$9,MATCH(D65,Policy!$A$5:$A$9,0)),"Reject - Tenure",IF(N65&lt;=INDEX(Policy!$D$5:$D$9,MATCH(D65,Policy!$A$5:$A$9,0)),"Approve",IF(N65&lt;=INDEX(Policy!$D$5:$D$9,MATCH(D65,Policy!$A$5:$A$9,0))+Policy!$B$21,"Refer to Manager","Reject - High FOIR")))))</f>
        <v>Refer to Manager</v>
      </c>
    </row>
    <row r="66" customFormat="false" ht="15" hidden="false" customHeight="false" outlineLevel="0" collapsed="false">
      <c r="A66" s="9" t="s">
        <v>170</v>
      </c>
      <c r="B66" s="9" t="s">
        <v>171</v>
      </c>
      <c r="C66" s="9" t="s">
        <v>59</v>
      </c>
      <c r="D66" s="9" t="s">
        <v>33</v>
      </c>
      <c r="E66" s="11" t="n">
        <v>43</v>
      </c>
      <c r="F66" s="12" t="n">
        <v>64000</v>
      </c>
      <c r="G66" s="11" t="n">
        <v>652</v>
      </c>
      <c r="H66" s="12" t="n">
        <v>440000</v>
      </c>
      <c r="I66" s="11" t="n">
        <v>5</v>
      </c>
      <c r="J66" s="12" t="n">
        <v>3500</v>
      </c>
      <c r="K66" s="9" t="str">
        <f aca="false">INDEX(Policy!$B$13:$B$17,MATCH(G66,Policy!$A$13:$A$17,1))</f>
        <v>Fair</v>
      </c>
      <c r="L66" s="13" t="n">
        <f aca="false">INDEX(Policy!$B$5:$B$9,MATCH(D66,Policy!$A$5:$A$9,0))+INDEX(Policy!$C$13:$C$17,MATCH(G66,Policy!$A$13:$A$17,1))</f>
        <v>0.135</v>
      </c>
      <c r="M66" s="14" t="n">
        <f aca="false">PMT(L66/12,I66*12,-H66)</f>
        <v>10124.3322474303</v>
      </c>
      <c r="N66" s="15" t="n">
        <f aca="false">(M66+J66)/F66</f>
        <v>0.212880191366098</v>
      </c>
      <c r="O66" s="14" t="n">
        <f aca="false">MAX(0,ROUND(PV(L66/12,I66*12,-(INDEX(Policy!$D$5:$D$9,MATCH(D66,Policy!$A$5:$A$9,0))*F66-J66)),-4))</f>
        <v>1240000</v>
      </c>
      <c r="P66" s="9" t="str">
        <f aca="false">IF(G66&lt;INDEX(Policy!$E$5:$E$9,MATCH(D66,Policy!$A$5:$A$9,0)),"Reject - Low Score",IF(E66+I66&gt;Policy!$B$20,"Reject - Age",IF(I66&gt;INDEX(Policy!$C$5:$C$9,MATCH(D66,Policy!$A$5:$A$9,0)),"Reject - Tenure",IF(N66&lt;=INDEX(Policy!$D$5:$D$9,MATCH(D66,Policy!$A$5:$A$9,0)),"Approve",IF(N66&lt;=INDEX(Policy!$D$5:$D$9,MATCH(D66,Policy!$A$5:$A$9,0))+Policy!$B$21,"Refer to Manager","Reject - High FOIR")))))</f>
        <v>Reject - Low Score</v>
      </c>
    </row>
    <row r="67" customFormat="false" ht="15" hidden="false" customHeight="false" outlineLevel="0" collapsed="false">
      <c r="A67" s="9" t="s">
        <v>172</v>
      </c>
      <c r="B67" s="9" t="s">
        <v>173</v>
      </c>
      <c r="C67" s="9" t="s">
        <v>51</v>
      </c>
      <c r="D67" s="9" t="s">
        <v>37</v>
      </c>
      <c r="E67" s="11" t="n">
        <v>29</v>
      </c>
      <c r="F67" s="12" t="n">
        <v>63000</v>
      </c>
      <c r="G67" s="11" t="n">
        <v>681</v>
      </c>
      <c r="H67" s="12" t="n">
        <v>1630000</v>
      </c>
      <c r="I67" s="11" t="n">
        <v>20</v>
      </c>
      <c r="J67" s="12" t="n">
        <v>4000</v>
      </c>
      <c r="K67" s="9" t="str">
        <f aca="false">INDEX(Policy!$B$13:$B$17,MATCH(G67,Policy!$A$13:$A$17,1))</f>
        <v>Fair</v>
      </c>
      <c r="L67" s="13" t="n">
        <f aca="false">INDEX(Policy!$B$5:$B$9,MATCH(D67,Policy!$A$5:$A$9,0))+INDEX(Policy!$C$13:$C$17,MATCH(G67,Policy!$A$13:$A$17,1))</f>
        <v>0.1025</v>
      </c>
      <c r="M67" s="14" t="n">
        <f aca="false">PMT(L67/12,I67*12,-H67)</f>
        <v>16000.787207879</v>
      </c>
      <c r="N67" s="15" t="n">
        <f aca="false">(M67+J67)/F67</f>
        <v>0.317472812823477</v>
      </c>
      <c r="O67" s="14" t="n">
        <f aca="false">MAX(0,ROUND(PV(L67/12,I67*12,-(INDEX(Policy!$D$5:$D$9,MATCH(D67,Policy!$A$5:$A$9,0))*F67-J67)),-4))</f>
        <v>2800000</v>
      </c>
      <c r="P67" s="9" t="str">
        <f aca="false">IF(G67&lt;INDEX(Policy!$E$5:$E$9,MATCH(D67,Policy!$A$5:$A$9,0)),"Reject - Low Score",IF(E67+I67&gt;Policy!$B$20,"Reject - Age",IF(I67&gt;INDEX(Policy!$C$5:$C$9,MATCH(D67,Policy!$A$5:$A$9,0)),"Reject - Tenure",IF(N67&lt;=INDEX(Policy!$D$5:$D$9,MATCH(D67,Policy!$A$5:$A$9,0)),"Approve",IF(N67&lt;=INDEX(Policy!$D$5:$D$9,MATCH(D67,Policy!$A$5:$A$9,0))+Policy!$B$21,"Refer to Manager","Reject - High FOIR")))))</f>
        <v>Reject - Low Score</v>
      </c>
    </row>
    <row r="68" customFormat="false" ht="15" hidden="false" customHeight="false" outlineLevel="0" collapsed="false">
      <c r="A68" s="9" t="s">
        <v>174</v>
      </c>
      <c r="B68" s="9" t="s">
        <v>175</v>
      </c>
      <c r="C68" s="9" t="s">
        <v>40</v>
      </c>
      <c r="D68" s="9" t="s">
        <v>41</v>
      </c>
      <c r="E68" s="11" t="n">
        <v>27</v>
      </c>
      <c r="F68" s="12" t="n">
        <v>62000</v>
      </c>
      <c r="G68" s="11" t="n">
        <v>743</v>
      </c>
      <c r="H68" s="12" t="n">
        <v>180000</v>
      </c>
      <c r="I68" s="11" t="n">
        <v>5</v>
      </c>
      <c r="J68" s="12" t="n">
        <v>8500</v>
      </c>
      <c r="K68" s="9" t="str">
        <f aca="false">INDEX(Policy!$B$13:$B$17,MATCH(G68,Policy!$A$13:$A$17,1))</f>
        <v>Good</v>
      </c>
      <c r="L68" s="13" t="n">
        <f aca="false">INDEX(Policy!$B$5:$B$9,MATCH(D68,Policy!$A$5:$A$9,0))+INDEX(Policy!$C$13:$C$17,MATCH(G68,Policy!$A$13:$A$17,1))</f>
        <v>0.1225</v>
      </c>
      <c r="M68" s="14" t="n">
        <f aca="false">PMT(L68/12,I68*12,-H68)</f>
        <v>4026.7776679726</v>
      </c>
      <c r="N68" s="15" t="n">
        <f aca="false">(M68+J68)/F68</f>
        <v>0.202044801096332</v>
      </c>
      <c r="O68" s="14" t="n">
        <f aca="false">MAX(0,ROUND(PV(L68/12,I68*12,-(INDEX(Policy!$D$5:$D$9,MATCH(D68,Policy!$A$5:$A$9,0))*F68-J68)),-4))</f>
        <v>870000</v>
      </c>
      <c r="P68" s="9" t="str">
        <f aca="false">IF(G68&lt;INDEX(Policy!$E$5:$E$9,MATCH(D68,Policy!$A$5:$A$9,0)),"Reject - Low Score",IF(E68+I68&gt;Policy!$B$20,"Reject - Age",IF(I68&gt;INDEX(Policy!$C$5:$C$9,MATCH(D68,Policy!$A$5:$A$9,0)),"Reject - Tenure",IF(N68&lt;=INDEX(Policy!$D$5:$D$9,MATCH(D68,Policy!$A$5:$A$9,0)),"Approve",IF(N68&lt;=INDEX(Policy!$D$5:$D$9,MATCH(D68,Policy!$A$5:$A$9,0))+Policy!$B$21,"Refer to Manager","Reject - High FOIR")))))</f>
        <v>Approve</v>
      </c>
    </row>
    <row r="69" customFormat="false" ht="15" hidden="false" customHeight="false" outlineLevel="0" collapsed="false">
      <c r="A69" s="9" t="s">
        <v>176</v>
      </c>
      <c r="B69" s="9" t="s">
        <v>177</v>
      </c>
      <c r="C69" s="9" t="s">
        <v>36</v>
      </c>
      <c r="D69" s="9" t="s">
        <v>30</v>
      </c>
      <c r="E69" s="11" t="n">
        <v>30</v>
      </c>
      <c r="F69" s="12" t="n">
        <v>70000</v>
      </c>
      <c r="G69" s="11" t="n">
        <v>745</v>
      </c>
      <c r="H69" s="12" t="n">
        <v>490000</v>
      </c>
      <c r="I69" s="11" t="n">
        <v>5</v>
      </c>
      <c r="J69" s="12" t="n">
        <v>20500</v>
      </c>
      <c r="K69" s="9" t="str">
        <f aca="false">INDEX(Policy!$B$13:$B$17,MATCH(G69,Policy!$A$13:$A$17,1))</f>
        <v>Good</v>
      </c>
      <c r="L69" s="13" t="n">
        <f aca="false">INDEX(Policy!$B$5:$B$9,MATCH(D69,Policy!$A$5:$A$9,0))+INDEX(Policy!$C$13:$C$17,MATCH(G69,Policy!$A$13:$A$17,1))</f>
        <v>0.1</v>
      </c>
      <c r="M69" s="14" t="n">
        <f aca="false">PMT(L69/12,I69*12,-H69)</f>
        <v>10411.0519085215</v>
      </c>
      <c r="N69" s="15" t="n">
        <f aca="false">(M69+J69)/F69</f>
        <v>0.441586455836021</v>
      </c>
      <c r="O69" s="14" t="n">
        <f aca="false">MAX(0,ROUND(PV(L69/12,I69*12,-(INDEX(Policy!$D$5:$D$9,MATCH(D69,Policy!$A$5:$A$9,0))*F69-J69)),-4))</f>
        <v>680000</v>
      </c>
      <c r="P69" s="9" t="str">
        <f aca="false">IF(G69&lt;INDEX(Policy!$E$5:$E$9,MATCH(D69,Policy!$A$5:$A$9,0)),"Reject - Low Score",IF(E69+I69&gt;Policy!$B$20,"Reject - Age",IF(I69&gt;INDEX(Policy!$C$5:$C$9,MATCH(D69,Policy!$A$5:$A$9,0)),"Reject - Tenure",IF(N69&lt;=INDEX(Policy!$D$5:$D$9,MATCH(D69,Policy!$A$5:$A$9,0)),"Approve",IF(N69&lt;=INDEX(Policy!$D$5:$D$9,MATCH(D69,Policy!$A$5:$A$9,0))+Policy!$B$21,"Refer to Manager","Reject - High FOIR")))))</f>
        <v>Approve</v>
      </c>
    </row>
    <row r="70" customFormat="false" ht="15" hidden="false" customHeight="false" outlineLevel="0" collapsed="false">
      <c r="A70" s="9" t="s">
        <v>178</v>
      </c>
      <c r="B70" s="9" t="s">
        <v>179</v>
      </c>
      <c r="C70" s="9" t="s">
        <v>115</v>
      </c>
      <c r="D70" s="9" t="s">
        <v>37</v>
      </c>
      <c r="E70" s="11" t="n">
        <v>32</v>
      </c>
      <c r="F70" s="12" t="n">
        <v>47000</v>
      </c>
      <c r="G70" s="11" t="n">
        <v>754</v>
      </c>
      <c r="H70" s="12" t="n">
        <v>1750000</v>
      </c>
      <c r="I70" s="11" t="n">
        <v>15</v>
      </c>
      <c r="J70" s="12" t="n">
        <v>14000</v>
      </c>
      <c r="K70" s="9" t="str">
        <f aca="false">INDEX(Policy!$B$13:$B$17,MATCH(G70,Policy!$A$13:$A$17,1))</f>
        <v>Very Good</v>
      </c>
      <c r="L70" s="13" t="n">
        <f aca="false">INDEX(Policy!$B$5:$B$9,MATCH(D70,Policy!$A$5:$A$9,0))+INDEX(Policy!$C$13:$C$17,MATCH(G70,Policy!$A$13:$A$17,1))</f>
        <v>0.09</v>
      </c>
      <c r="M70" s="14" t="n">
        <f aca="false">PMT(L70/12,I70*12,-H70)</f>
        <v>17749.6652228312</v>
      </c>
      <c r="N70" s="15" t="n">
        <f aca="false">(M70+J70)/F70</f>
        <v>0.675524791975133</v>
      </c>
      <c r="O70" s="14" t="n">
        <f aca="false">MAX(0,ROUND(PV(L70/12,I70*12,-(INDEX(Policy!$D$5:$D$9,MATCH(D70,Policy!$A$5:$A$9,0))*F70-J70)),-4))</f>
        <v>940000</v>
      </c>
      <c r="P70" s="9" t="str">
        <f aca="false">IF(G70&lt;INDEX(Policy!$E$5:$E$9,MATCH(D70,Policy!$A$5:$A$9,0)),"Reject - Low Score",IF(E70+I70&gt;Policy!$B$20,"Reject - Age",IF(I70&gt;INDEX(Policy!$C$5:$C$9,MATCH(D70,Policy!$A$5:$A$9,0)),"Reject - Tenure",IF(N70&lt;=INDEX(Policy!$D$5:$D$9,MATCH(D70,Policy!$A$5:$A$9,0)),"Approve",IF(N70&lt;=INDEX(Policy!$D$5:$D$9,MATCH(D70,Policy!$A$5:$A$9,0))+Policy!$B$21,"Refer to Manager","Reject - High FOIR")))))</f>
        <v>Reject - High FOIR</v>
      </c>
    </row>
    <row r="71" customFormat="false" ht="15" hidden="false" customHeight="false" outlineLevel="0" collapsed="false">
      <c r="A71" s="9" t="s">
        <v>180</v>
      </c>
      <c r="B71" s="9" t="s">
        <v>181</v>
      </c>
      <c r="C71" s="9" t="s">
        <v>54</v>
      </c>
      <c r="D71" s="9" t="s">
        <v>30</v>
      </c>
      <c r="E71" s="11" t="n">
        <v>24</v>
      </c>
      <c r="F71" s="12" t="n">
        <v>87000</v>
      </c>
      <c r="G71" s="11" t="n">
        <v>745</v>
      </c>
      <c r="H71" s="12" t="n">
        <v>760000</v>
      </c>
      <c r="I71" s="11" t="n">
        <v>7</v>
      </c>
      <c r="J71" s="12" t="n">
        <v>10500</v>
      </c>
      <c r="K71" s="9" t="str">
        <f aca="false">INDEX(Policy!$B$13:$B$17,MATCH(G71,Policy!$A$13:$A$17,1))</f>
        <v>Good</v>
      </c>
      <c r="L71" s="13" t="n">
        <f aca="false">INDEX(Policy!$B$5:$B$9,MATCH(D71,Policy!$A$5:$A$9,0))+INDEX(Policy!$C$13:$C$17,MATCH(G71,Policy!$A$13:$A$17,1))</f>
        <v>0.1</v>
      </c>
      <c r="M71" s="14" t="n">
        <f aca="false">PMT(L71/12,I71*12,-H71)</f>
        <v>12616.8998604333</v>
      </c>
      <c r="N71" s="15" t="n">
        <f aca="false">(M71+J71)/F71</f>
        <v>0.265711492648659</v>
      </c>
      <c r="O71" s="14" t="n">
        <f aca="false">MAX(0,ROUND(PV(L71/12,I71*12,-(INDEX(Policy!$D$5:$D$9,MATCH(D71,Policy!$A$5:$A$9,0))*F71-J71)),-4))</f>
        <v>1990000</v>
      </c>
      <c r="P71" s="9" t="str">
        <f aca="false">IF(G71&lt;INDEX(Policy!$E$5:$E$9,MATCH(D71,Policy!$A$5:$A$9,0)),"Reject - Low Score",IF(E71+I71&gt;Policy!$B$20,"Reject - Age",IF(I71&gt;INDEX(Policy!$C$5:$C$9,MATCH(D71,Policy!$A$5:$A$9,0)),"Reject - Tenure",IF(N71&lt;=INDEX(Policy!$D$5:$D$9,MATCH(D71,Policy!$A$5:$A$9,0)),"Approve",IF(N71&lt;=INDEX(Policy!$D$5:$D$9,MATCH(D71,Policy!$A$5:$A$9,0))+Policy!$B$21,"Refer to Manager","Reject - High FOIR")))))</f>
        <v>Approve</v>
      </c>
    </row>
    <row r="72" customFormat="false" ht="15" hidden="false" customHeight="false" outlineLevel="0" collapsed="false">
      <c r="A72" s="9" t="s">
        <v>182</v>
      </c>
      <c r="B72" s="9" t="s">
        <v>183</v>
      </c>
      <c r="C72" s="9" t="s">
        <v>40</v>
      </c>
      <c r="D72" s="9" t="s">
        <v>37</v>
      </c>
      <c r="E72" s="11" t="n">
        <v>39</v>
      </c>
      <c r="F72" s="12" t="n">
        <v>46000</v>
      </c>
      <c r="G72" s="11" t="n">
        <v>787</v>
      </c>
      <c r="H72" s="12" t="n">
        <v>1930000</v>
      </c>
      <c r="I72" s="11" t="n">
        <v>15</v>
      </c>
      <c r="J72" s="12" t="n">
        <v>7500</v>
      </c>
      <c r="K72" s="9" t="str">
        <f aca="false">INDEX(Policy!$B$13:$B$17,MATCH(G72,Policy!$A$13:$A$17,1))</f>
        <v>Very Good</v>
      </c>
      <c r="L72" s="13" t="n">
        <f aca="false">INDEX(Policy!$B$5:$B$9,MATCH(D72,Policy!$A$5:$A$9,0))+INDEX(Policy!$C$13:$C$17,MATCH(G72,Policy!$A$13:$A$17,1))</f>
        <v>0.09</v>
      </c>
      <c r="M72" s="14" t="n">
        <f aca="false">PMT(L72/12,I72*12,-H72)</f>
        <v>19575.3450743225</v>
      </c>
      <c r="N72" s="15" t="n">
        <f aca="false">(M72+J72)/F72</f>
        <v>0.588594458137445</v>
      </c>
      <c r="O72" s="14" t="n">
        <f aca="false">MAX(0,ROUND(PV(L72/12,I72*12,-(INDEX(Policy!$D$5:$D$9,MATCH(D72,Policy!$A$5:$A$9,0))*F72-J72)),-4))</f>
        <v>1530000</v>
      </c>
      <c r="P72" s="9" t="str">
        <f aca="false">IF(G72&lt;INDEX(Policy!$E$5:$E$9,MATCH(D72,Policy!$A$5:$A$9,0)),"Reject - Low Score",IF(E72+I72&gt;Policy!$B$20,"Reject - Age",IF(I72&gt;INDEX(Policy!$C$5:$C$9,MATCH(D72,Policy!$A$5:$A$9,0)),"Reject - Tenure",IF(N72&lt;=INDEX(Policy!$D$5:$D$9,MATCH(D72,Policy!$A$5:$A$9,0)),"Approve",IF(N72&lt;=INDEX(Policy!$D$5:$D$9,MATCH(D72,Policy!$A$5:$A$9,0))+Policy!$B$21,"Refer to Manager","Reject - High FOIR")))))</f>
        <v>Reject - High FOIR</v>
      </c>
    </row>
    <row r="73" customFormat="false" ht="15" hidden="false" customHeight="false" outlineLevel="0" collapsed="false">
      <c r="A73" s="9" t="s">
        <v>184</v>
      </c>
      <c r="B73" s="9" t="s">
        <v>185</v>
      </c>
      <c r="C73" s="9" t="s">
        <v>59</v>
      </c>
      <c r="D73" s="9" t="s">
        <v>66</v>
      </c>
      <c r="E73" s="11" t="n">
        <v>34</v>
      </c>
      <c r="F73" s="12" t="n">
        <v>266000</v>
      </c>
      <c r="G73" s="11" t="n">
        <v>728</v>
      </c>
      <c r="H73" s="12" t="n">
        <v>3990000</v>
      </c>
      <c r="I73" s="11" t="n">
        <v>10</v>
      </c>
      <c r="J73" s="12" t="n">
        <v>0</v>
      </c>
      <c r="K73" s="9" t="str">
        <f aca="false">INDEX(Policy!$B$13:$B$17,MATCH(G73,Policy!$A$13:$A$17,1))</f>
        <v>Good</v>
      </c>
      <c r="L73" s="13" t="n">
        <f aca="false">INDEX(Policy!$B$5:$B$9,MATCH(D73,Policy!$A$5:$A$9,0))+INDEX(Policy!$C$13:$C$17,MATCH(G73,Policy!$A$13:$A$17,1))</f>
        <v>0.1025</v>
      </c>
      <c r="M73" s="14" t="n">
        <f aca="false">PMT(L73/12,I73*12,-H73)</f>
        <v>53282.0617488339</v>
      </c>
      <c r="N73" s="15" t="n">
        <f aca="false">(M73+J73)/F73</f>
        <v>0.200308502815165</v>
      </c>
      <c r="O73" s="14" t="n">
        <f aca="false">MAX(0,ROUND(PV(L73/12,I73*12,-(INDEX(Policy!$D$5:$D$9,MATCH(D73,Policy!$A$5:$A$9,0))*F73-J73)),-4))</f>
        <v>10960000</v>
      </c>
      <c r="P73" s="9" t="str">
        <f aca="false">IF(G73&lt;INDEX(Policy!$E$5:$E$9,MATCH(D73,Policy!$A$5:$A$9,0)),"Reject - Low Score",IF(E73+I73&gt;Policy!$B$20,"Reject - Age",IF(I73&gt;INDEX(Policy!$C$5:$C$9,MATCH(D73,Policy!$A$5:$A$9,0)),"Reject - Tenure",IF(N73&lt;=INDEX(Policy!$D$5:$D$9,MATCH(D73,Policy!$A$5:$A$9,0)),"Approve",IF(N73&lt;=INDEX(Policy!$D$5:$D$9,MATCH(D73,Policy!$A$5:$A$9,0))+Policy!$B$21,"Refer to Manager","Reject - High FOIR")))))</f>
        <v>Approve</v>
      </c>
    </row>
    <row r="74" customFormat="false" ht="15" hidden="false" customHeight="false" outlineLevel="0" collapsed="false">
      <c r="A74" s="9" t="s">
        <v>186</v>
      </c>
      <c r="B74" s="9" t="s">
        <v>187</v>
      </c>
      <c r="C74" s="9" t="s">
        <v>40</v>
      </c>
      <c r="D74" s="9" t="s">
        <v>37</v>
      </c>
      <c r="E74" s="11" t="n">
        <v>34</v>
      </c>
      <c r="F74" s="12" t="n">
        <v>25000</v>
      </c>
      <c r="G74" s="11" t="n">
        <v>753</v>
      </c>
      <c r="H74" s="12" t="n">
        <v>600000</v>
      </c>
      <c r="I74" s="11" t="n">
        <v>15</v>
      </c>
      <c r="J74" s="12" t="n">
        <v>0</v>
      </c>
      <c r="K74" s="9" t="str">
        <f aca="false">INDEX(Policy!$B$13:$B$17,MATCH(G74,Policy!$A$13:$A$17,1))</f>
        <v>Very Good</v>
      </c>
      <c r="L74" s="13" t="n">
        <f aca="false">INDEX(Policy!$B$5:$B$9,MATCH(D74,Policy!$A$5:$A$9,0))+INDEX(Policy!$C$13:$C$17,MATCH(G74,Policy!$A$13:$A$17,1))</f>
        <v>0.09</v>
      </c>
      <c r="M74" s="14" t="n">
        <f aca="false">PMT(L74/12,I74*12,-H74)</f>
        <v>6085.59950497071</v>
      </c>
      <c r="N74" s="15" t="n">
        <f aca="false">(M74+J74)/F74</f>
        <v>0.243423980198828</v>
      </c>
      <c r="O74" s="14" t="n">
        <f aca="false">MAX(0,ROUND(PV(L74/12,I74*12,-(INDEX(Policy!$D$5:$D$9,MATCH(D74,Policy!$A$5:$A$9,0))*F74-J74)),-4))</f>
        <v>1230000</v>
      </c>
      <c r="P74" s="9" t="str">
        <f aca="false">IF(G74&lt;INDEX(Policy!$E$5:$E$9,MATCH(D74,Policy!$A$5:$A$9,0)),"Reject - Low Score",IF(E74+I74&gt;Policy!$B$20,"Reject - Age",IF(I74&gt;INDEX(Policy!$C$5:$C$9,MATCH(D74,Policy!$A$5:$A$9,0)),"Reject - Tenure",IF(N74&lt;=INDEX(Policy!$D$5:$D$9,MATCH(D74,Policy!$A$5:$A$9,0)),"Approve",IF(N74&lt;=INDEX(Policy!$D$5:$D$9,MATCH(D74,Policy!$A$5:$A$9,0))+Policy!$B$21,"Refer to Manager","Reject - High FOIR")))))</f>
        <v>Approve</v>
      </c>
    </row>
    <row r="75" customFormat="false" ht="15" hidden="false" customHeight="false" outlineLevel="0" collapsed="false">
      <c r="A75" s="9" t="s">
        <v>188</v>
      </c>
      <c r="B75" s="9" t="s">
        <v>189</v>
      </c>
      <c r="C75" s="9" t="s">
        <v>51</v>
      </c>
      <c r="D75" s="9" t="s">
        <v>33</v>
      </c>
      <c r="E75" s="11" t="n">
        <v>38</v>
      </c>
      <c r="F75" s="12" t="n">
        <v>58000</v>
      </c>
      <c r="G75" s="11" t="n">
        <v>746</v>
      </c>
      <c r="H75" s="12" t="n">
        <v>440000</v>
      </c>
      <c r="I75" s="11" t="n">
        <v>5</v>
      </c>
      <c r="J75" s="12" t="n">
        <v>14000</v>
      </c>
      <c r="K75" s="9" t="str">
        <f aca="false">INDEX(Policy!$B$13:$B$17,MATCH(G75,Policy!$A$13:$A$17,1))</f>
        <v>Good</v>
      </c>
      <c r="L75" s="13" t="n">
        <f aca="false">INDEX(Policy!$B$5:$B$9,MATCH(D75,Policy!$A$5:$A$9,0))+INDEX(Policy!$C$13:$C$17,MATCH(G75,Policy!$A$13:$A$17,1))</f>
        <v>0.1275</v>
      </c>
      <c r="M75" s="14" t="n">
        <f aca="false">PMT(L75/12,I75*12,-H75)</f>
        <v>9955.132210674</v>
      </c>
      <c r="N75" s="15" t="n">
        <f aca="false">(M75+J75)/F75</f>
        <v>0.41301952087369</v>
      </c>
      <c r="O75" s="14" t="n">
        <f aca="false">MAX(0,ROUND(PV(L75/12,I75*12,-(INDEX(Policy!$D$5:$D$9,MATCH(D75,Policy!$A$5:$A$9,0))*F75-J75)),-4))</f>
        <v>660000</v>
      </c>
      <c r="P75" s="9" t="str">
        <f aca="false">IF(G75&lt;INDEX(Policy!$E$5:$E$9,MATCH(D75,Policy!$A$5:$A$9,0)),"Reject - Low Score",IF(E75+I75&gt;Policy!$B$20,"Reject - Age",IF(I75&gt;INDEX(Policy!$C$5:$C$9,MATCH(D75,Policy!$A$5:$A$9,0)),"Reject - Tenure",IF(N75&lt;=INDEX(Policy!$D$5:$D$9,MATCH(D75,Policy!$A$5:$A$9,0)),"Approve",IF(N75&lt;=INDEX(Policy!$D$5:$D$9,MATCH(D75,Policy!$A$5:$A$9,0))+Policy!$B$21,"Refer to Manager","Reject - High FOIR")))))</f>
        <v>Approve</v>
      </c>
    </row>
    <row r="76" customFormat="false" ht="15" hidden="false" customHeight="false" outlineLevel="0" collapsed="false">
      <c r="A76" s="9" t="s">
        <v>190</v>
      </c>
      <c r="B76" s="9" t="s">
        <v>191</v>
      </c>
      <c r="C76" s="9" t="s">
        <v>44</v>
      </c>
      <c r="D76" s="9" t="s">
        <v>41</v>
      </c>
      <c r="E76" s="11" t="n">
        <v>33</v>
      </c>
      <c r="F76" s="12" t="n">
        <v>143000</v>
      </c>
      <c r="G76" s="11" t="n">
        <v>729</v>
      </c>
      <c r="H76" s="12" t="n">
        <v>820000</v>
      </c>
      <c r="I76" s="11" t="n">
        <v>3</v>
      </c>
      <c r="J76" s="12" t="n">
        <v>0</v>
      </c>
      <c r="K76" s="9" t="str">
        <f aca="false">INDEX(Policy!$B$13:$B$17,MATCH(G76,Policy!$A$13:$A$17,1))</f>
        <v>Good</v>
      </c>
      <c r="L76" s="13" t="n">
        <f aca="false">INDEX(Policy!$B$5:$B$9,MATCH(D76,Policy!$A$5:$A$9,0))+INDEX(Policy!$C$13:$C$17,MATCH(G76,Policy!$A$13:$A$17,1))</f>
        <v>0.1225</v>
      </c>
      <c r="M76" s="14" t="n">
        <f aca="false">PMT(L76/12,I76*12,-H76)</f>
        <v>27333.7498278065</v>
      </c>
      <c r="N76" s="15" t="n">
        <f aca="false">(M76+J76)/F76</f>
        <v>0.191145103690955</v>
      </c>
      <c r="O76" s="14" t="n">
        <f aca="false">MAX(0,ROUND(PV(L76/12,I76*12,-(INDEX(Policy!$D$5:$D$9,MATCH(D76,Policy!$A$5:$A$9,0))*F76-J76)),-4))</f>
        <v>1930000</v>
      </c>
      <c r="P76" s="9" t="str">
        <f aca="false">IF(G76&lt;INDEX(Policy!$E$5:$E$9,MATCH(D76,Policy!$A$5:$A$9,0)),"Reject - Low Score",IF(E76+I76&gt;Policy!$B$20,"Reject - Age",IF(I76&gt;INDEX(Policy!$C$5:$C$9,MATCH(D76,Policy!$A$5:$A$9,0)),"Reject - Tenure",IF(N76&lt;=INDEX(Policy!$D$5:$D$9,MATCH(D76,Policy!$A$5:$A$9,0)),"Approve",IF(N76&lt;=INDEX(Policy!$D$5:$D$9,MATCH(D76,Policy!$A$5:$A$9,0))+Policy!$B$21,"Refer to Manager","Reject - High FOIR")))))</f>
        <v>Approve</v>
      </c>
    </row>
    <row r="77" customFormat="false" ht="15" hidden="false" customHeight="false" outlineLevel="0" collapsed="false">
      <c r="A77" s="9" t="s">
        <v>192</v>
      </c>
      <c r="B77" s="9" t="s">
        <v>193</v>
      </c>
      <c r="C77" s="9" t="s">
        <v>36</v>
      </c>
      <c r="D77" s="9" t="s">
        <v>37</v>
      </c>
      <c r="E77" s="11" t="n">
        <v>34</v>
      </c>
      <c r="F77" s="12" t="n">
        <v>56000</v>
      </c>
      <c r="G77" s="11" t="n">
        <v>721</v>
      </c>
      <c r="H77" s="12" t="n">
        <v>2250000</v>
      </c>
      <c r="I77" s="11" t="n">
        <v>10</v>
      </c>
      <c r="J77" s="12" t="n">
        <v>0</v>
      </c>
      <c r="K77" s="9" t="str">
        <f aca="false">INDEX(Policy!$B$13:$B$17,MATCH(G77,Policy!$A$13:$A$17,1))</f>
        <v>Good</v>
      </c>
      <c r="L77" s="13" t="n">
        <f aca="false">INDEX(Policy!$B$5:$B$9,MATCH(D77,Policy!$A$5:$A$9,0))+INDEX(Policy!$C$13:$C$17,MATCH(G77,Policy!$A$13:$A$17,1))</f>
        <v>0.095</v>
      </c>
      <c r="M77" s="14" t="n">
        <f aca="false">PMT(L77/12,I77*12,-H77)</f>
        <v>29114.4504511748</v>
      </c>
      <c r="N77" s="15" t="n">
        <f aca="false">(M77+J77)/F77</f>
        <v>0.519900900913836</v>
      </c>
      <c r="O77" s="14" t="n">
        <f aca="false">MAX(0,ROUND(PV(L77/12,I77*12,-(INDEX(Policy!$D$5:$D$9,MATCH(D77,Policy!$A$5:$A$9,0))*F77-J77)),-4))</f>
        <v>2160000</v>
      </c>
      <c r="P77" s="9" t="str">
        <f aca="false">IF(G77&lt;INDEX(Policy!$E$5:$E$9,MATCH(D77,Policy!$A$5:$A$9,0)),"Reject - Low Score",IF(E77+I77&gt;Policy!$B$20,"Reject - Age",IF(I77&gt;INDEX(Policy!$C$5:$C$9,MATCH(D77,Policy!$A$5:$A$9,0)),"Reject - Tenure",IF(N77&lt;=INDEX(Policy!$D$5:$D$9,MATCH(D77,Policy!$A$5:$A$9,0)),"Approve",IF(N77&lt;=INDEX(Policy!$D$5:$D$9,MATCH(D77,Policy!$A$5:$A$9,0))+Policy!$B$21,"Refer to Manager","Reject - High FOIR")))))</f>
        <v>Refer to Manager</v>
      </c>
    </row>
    <row r="78" customFormat="false" ht="15" hidden="false" customHeight="false" outlineLevel="0" collapsed="false">
      <c r="A78" s="9" t="s">
        <v>194</v>
      </c>
      <c r="B78" s="9" t="s">
        <v>195</v>
      </c>
      <c r="C78" s="9" t="s">
        <v>54</v>
      </c>
      <c r="D78" s="9" t="s">
        <v>41</v>
      </c>
      <c r="E78" s="11" t="n">
        <v>31</v>
      </c>
      <c r="F78" s="12" t="n">
        <v>87000</v>
      </c>
      <c r="G78" s="11" t="n">
        <v>746</v>
      </c>
      <c r="H78" s="12" t="n">
        <v>320000</v>
      </c>
      <c r="I78" s="11" t="n">
        <v>4</v>
      </c>
      <c r="J78" s="12" t="n">
        <v>0</v>
      </c>
      <c r="K78" s="9" t="str">
        <f aca="false">INDEX(Policy!$B$13:$B$17,MATCH(G78,Policy!$A$13:$A$17,1))</f>
        <v>Good</v>
      </c>
      <c r="L78" s="13" t="n">
        <f aca="false">INDEX(Policy!$B$5:$B$9,MATCH(D78,Policy!$A$5:$A$9,0))+INDEX(Policy!$C$13:$C$17,MATCH(G78,Policy!$A$13:$A$17,1))</f>
        <v>0.1225</v>
      </c>
      <c r="M78" s="14" t="n">
        <f aca="false">PMT(L78/12,I78*12,-H78)</f>
        <v>8466.16008157409</v>
      </c>
      <c r="N78" s="15" t="n">
        <f aca="false">(M78+J78)/F78</f>
        <v>0.0973121848456792</v>
      </c>
      <c r="O78" s="14" t="n">
        <f aca="false">MAX(0,ROUND(PV(L78/12,I78*12,-(INDEX(Policy!$D$5:$D$9,MATCH(D78,Policy!$A$5:$A$9,0))*F78-J78)),-4))</f>
        <v>1480000</v>
      </c>
      <c r="P78" s="9" t="str">
        <f aca="false">IF(G78&lt;INDEX(Policy!$E$5:$E$9,MATCH(D78,Policy!$A$5:$A$9,0)),"Reject - Low Score",IF(E78+I78&gt;Policy!$B$20,"Reject - Age",IF(I78&gt;INDEX(Policy!$C$5:$C$9,MATCH(D78,Policy!$A$5:$A$9,0)),"Reject - Tenure",IF(N78&lt;=INDEX(Policy!$D$5:$D$9,MATCH(D78,Policy!$A$5:$A$9,0)),"Approve",IF(N78&lt;=INDEX(Policy!$D$5:$D$9,MATCH(D78,Policy!$A$5:$A$9,0))+Policy!$B$21,"Refer to Manager","Reject - High FOIR")))))</f>
        <v>Approve</v>
      </c>
    </row>
    <row r="79" customFormat="false" ht="15" hidden="false" customHeight="false" outlineLevel="0" collapsed="false">
      <c r="A79" s="9" t="s">
        <v>196</v>
      </c>
      <c r="B79" s="9" t="s">
        <v>197</v>
      </c>
      <c r="C79" s="9" t="s">
        <v>71</v>
      </c>
      <c r="D79" s="9" t="s">
        <v>37</v>
      </c>
      <c r="E79" s="11" t="n">
        <v>43</v>
      </c>
      <c r="F79" s="12" t="n">
        <v>110000</v>
      </c>
      <c r="G79" s="11" t="n">
        <v>743</v>
      </c>
      <c r="H79" s="12" t="n">
        <v>2180000</v>
      </c>
      <c r="I79" s="11" t="n">
        <v>20</v>
      </c>
      <c r="J79" s="12" t="n">
        <v>10500</v>
      </c>
      <c r="K79" s="9" t="str">
        <f aca="false">INDEX(Policy!$B$13:$B$17,MATCH(G79,Policy!$A$13:$A$17,1))</f>
        <v>Good</v>
      </c>
      <c r="L79" s="13" t="n">
        <f aca="false">INDEX(Policy!$B$5:$B$9,MATCH(D79,Policy!$A$5:$A$9,0))+INDEX(Policy!$C$13:$C$17,MATCH(G79,Policy!$A$13:$A$17,1))</f>
        <v>0.095</v>
      </c>
      <c r="M79" s="14" t="n">
        <f aca="false">PMT(L79/12,I79*12,-H79)</f>
        <v>20320.4598947707</v>
      </c>
      <c r="N79" s="15" t="n">
        <f aca="false">(M79+J79)/F79</f>
        <v>0.28018599904337</v>
      </c>
      <c r="O79" s="14" t="n">
        <f aca="false">MAX(0,ROUND(PV(L79/12,I79*12,-(INDEX(Policy!$D$5:$D$9,MATCH(D79,Policy!$A$5:$A$9,0))*F79-J79)),-4))</f>
        <v>4770000</v>
      </c>
      <c r="P79" s="9" t="str">
        <f aca="false">IF(G79&lt;INDEX(Policy!$E$5:$E$9,MATCH(D79,Policy!$A$5:$A$9,0)),"Reject - Low Score",IF(E79+I79&gt;Policy!$B$20,"Reject - Age",IF(I79&gt;INDEX(Policy!$C$5:$C$9,MATCH(D79,Policy!$A$5:$A$9,0)),"Reject - Tenure",IF(N79&lt;=INDEX(Policy!$D$5:$D$9,MATCH(D79,Policy!$A$5:$A$9,0)),"Approve",IF(N79&lt;=INDEX(Policy!$D$5:$D$9,MATCH(D79,Policy!$A$5:$A$9,0))+Policy!$B$21,"Refer to Manager","Reject - High FOIR")))))</f>
        <v>Approve</v>
      </c>
    </row>
    <row r="80" customFormat="false" ht="15" hidden="false" customHeight="false" outlineLevel="0" collapsed="false">
      <c r="A80" s="9" t="s">
        <v>198</v>
      </c>
      <c r="B80" s="9" t="s">
        <v>199</v>
      </c>
      <c r="C80" s="9" t="s">
        <v>80</v>
      </c>
      <c r="D80" s="9" t="s">
        <v>37</v>
      </c>
      <c r="E80" s="11" t="n">
        <v>43</v>
      </c>
      <c r="F80" s="12" t="n">
        <v>95000</v>
      </c>
      <c r="G80" s="11" t="n">
        <v>724</v>
      </c>
      <c r="H80" s="12" t="n">
        <v>2230000</v>
      </c>
      <c r="I80" s="11" t="n">
        <v>30</v>
      </c>
      <c r="J80" s="12" t="n">
        <v>11000</v>
      </c>
      <c r="K80" s="9" t="str">
        <f aca="false">INDEX(Policy!$B$13:$B$17,MATCH(G80,Policy!$A$13:$A$17,1))</f>
        <v>Good</v>
      </c>
      <c r="L80" s="13" t="n">
        <f aca="false">INDEX(Policy!$B$5:$B$9,MATCH(D80,Policy!$A$5:$A$9,0))+INDEX(Policy!$C$13:$C$17,MATCH(G80,Policy!$A$13:$A$17,1))</f>
        <v>0.095</v>
      </c>
      <c r="M80" s="14" t="n">
        <f aca="false">PMT(L80/12,I80*12,-H80)</f>
        <v>18751.0488200861</v>
      </c>
      <c r="N80" s="15" t="n">
        <f aca="false">(M80+J80)/F80</f>
        <v>0.313168934948275</v>
      </c>
      <c r="O80" s="14" t="n">
        <f aca="false">MAX(0,ROUND(PV(L80/12,I80*12,-(INDEX(Policy!$D$5:$D$9,MATCH(D80,Policy!$A$5:$A$9,0))*F80-J80)),-4))</f>
        <v>4340000</v>
      </c>
      <c r="P80" s="9" t="str">
        <f aca="false">IF(G80&lt;INDEX(Policy!$E$5:$E$9,MATCH(D80,Policy!$A$5:$A$9,0)),"Reject - Low Score",IF(E80+I80&gt;Policy!$B$20,"Reject - Age",IF(I80&gt;INDEX(Policy!$C$5:$C$9,MATCH(D80,Policy!$A$5:$A$9,0)),"Reject - Tenure",IF(N80&lt;=INDEX(Policy!$D$5:$D$9,MATCH(D80,Policy!$A$5:$A$9,0)),"Approve",IF(N80&lt;=INDEX(Policy!$D$5:$D$9,MATCH(D80,Policy!$A$5:$A$9,0))+Policy!$B$21,"Refer to Manager","Reject - High FOIR")))))</f>
        <v>Reject - Age</v>
      </c>
    </row>
    <row r="81" customFormat="false" ht="15" hidden="false" customHeight="false" outlineLevel="0" collapsed="false">
      <c r="A81" s="9" t="s">
        <v>200</v>
      </c>
      <c r="B81" s="9" t="s">
        <v>201</v>
      </c>
      <c r="C81" s="9" t="s">
        <v>29</v>
      </c>
      <c r="D81" s="9" t="s">
        <v>66</v>
      </c>
      <c r="E81" s="11" t="n">
        <v>39</v>
      </c>
      <c r="F81" s="12" t="n">
        <v>65000</v>
      </c>
      <c r="G81" s="11" t="n">
        <v>761</v>
      </c>
      <c r="H81" s="12" t="n">
        <v>840000</v>
      </c>
      <c r="I81" s="11" t="n">
        <v>15</v>
      </c>
      <c r="J81" s="12" t="n">
        <v>3500</v>
      </c>
      <c r="K81" s="9" t="str">
        <f aca="false">INDEX(Policy!$B$13:$B$17,MATCH(G81,Policy!$A$13:$A$17,1))</f>
        <v>Very Good</v>
      </c>
      <c r="L81" s="13" t="n">
        <f aca="false">INDEX(Policy!$B$5:$B$9,MATCH(D81,Policy!$A$5:$A$9,0))+INDEX(Policy!$C$13:$C$17,MATCH(G81,Policy!$A$13:$A$17,1))</f>
        <v>0.0975</v>
      </c>
      <c r="M81" s="14" t="n">
        <f aca="false">PMT(L81/12,I81*12,-H81)</f>
        <v>8898.64637375915</v>
      </c>
      <c r="N81" s="15" t="n">
        <f aca="false">(M81+J81)/F81</f>
        <v>0.190748405750141</v>
      </c>
      <c r="O81" s="14" t="n">
        <f aca="false">MAX(0,ROUND(PV(L81/12,I81*12,-(INDEX(Policy!$D$5:$D$9,MATCH(D81,Policy!$A$5:$A$9,0))*F81-J81)),-4))</f>
        <v>3040000</v>
      </c>
      <c r="P81" s="9" t="str">
        <f aca="false">IF(G81&lt;INDEX(Policy!$E$5:$E$9,MATCH(D81,Policy!$A$5:$A$9,0)),"Reject - Low Score",IF(E81+I81&gt;Policy!$B$20,"Reject - Age",IF(I81&gt;INDEX(Policy!$C$5:$C$9,MATCH(D81,Policy!$A$5:$A$9,0)),"Reject - Tenure",IF(N81&lt;=INDEX(Policy!$D$5:$D$9,MATCH(D81,Policy!$A$5:$A$9,0)),"Approve",IF(N81&lt;=INDEX(Policy!$D$5:$D$9,MATCH(D81,Policy!$A$5:$A$9,0))+Policy!$B$21,"Refer to Manager","Reject - High FOIR")))))</f>
        <v>Approve</v>
      </c>
    </row>
    <row r="82" customFormat="false" ht="15" hidden="false" customHeight="false" outlineLevel="0" collapsed="false">
      <c r="A82" s="9" t="s">
        <v>202</v>
      </c>
      <c r="B82" s="9" t="s">
        <v>203</v>
      </c>
      <c r="C82" s="9" t="s">
        <v>36</v>
      </c>
      <c r="D82" s="9" t="s">
        <v>37</v>
      </c>
      <c r="E82" s="11" t="n">
        <v>37</v>
      </c>
      <c r="F82" s="12" t="n">
        <v>82000</v>
      </c>
      <c r="G82" s="11" t="n">
        <v>723</v>
      </c>
      <c r="H82" s="12" t="n">
        <v>2290000</v>
      </c>
      <c r="I82" s="11" t="n">
        <v>10</v>
      </c>
      <c r="J82" s="12" t="n">
        <v>0</v>
      </c>
      <c r="K82" s="9" t="str">
        <f aca="false">INDEX(Policy!$B$13:$B$17,MATCH(G82,Policy!$A$13:$A$17,1))</f>
        <v>Good</v>
      </c>
      <c r="L82" s="13" t="n">
        <f aca="false">INDEX(Policy!$B$5:$B$9,MATCH(D82,Policy!$A$5:$A$9,0))+INDEX(Policy!$C$13:$C$17,MATCH(G82,Policy!$A$13:$A$17,1))</f>
        <v>0.095</v>
      </c>
      <c r="M82" s="14" t="n">
        <f aca="false">PMT(L82/12,I82*12,-H82)</f>
        <v>29632.0406814179</v>
      </c>
      <c r="N82" s="15" t="n">
        <f aca="false">(M82+J82)/F82</f>
        <v>0.36136634977339</v>
      </c>
      <c r="O82" s="14" t="n">
        <f aca="false">MAX(0,ROUND(PV(L82/12,I82*12,-(INDEX(Policy!$D$5:$D$9,MATCH(D82,Policy!$A$5:$A$9,0))*F82-J82)),-4))</f>
        <v>3170000</v>
      </c>
      <c r="P82" s="9" t="str">
        <f aca="false">IF(G82&lt;INDEX(Policy!$E$5:$E$9,MATCH(D82,Policy!$A$5:$A$9,0)),"Reject - Low Score",IF(E82+I82&gt;Policy!$B$20,"Reject - Age",IF(I82&gt;INDEX(Policy!$C$5:$C$9,MATCH(D82,Policy!$A$5:$A$9,0)),"Reject - Tenure",IF(N82&lt;=INDEX(Policy!$D$5:$D$9,MATCH(D82,Policy!$A$5:$A$9,0)),"Approve",IF(N82&lt;=INDEX(Policy!$D$5:$D$9,MATCH(D82,Policy!$A$5:$A$9,0))+Policy!$B$21,"Refer to Manager","Reject - High FOIR")))))</f>
        <v>Approve</v>
      </c>
    </row>
    <row r="83" customFormat="false" ht="15" hidden="false" customHeight="false" outlineLevel="0" collapsed="false">
      <c r="A83" s="9" t="s">
        <v>204</v>
      </c>
      <c r="B83" s="9" t="s">
        <v>205</v>
      </c>
      <c r="C83" s="9" t="s">
        <v>54</v>
      </c>
      <c r="D83" s="9" t="s">
        <v>37</v>
      </c>
      <c r="E83" s="11" t="n">
        <v>24</v>
      </c>
      <c r="F83" s="12" t="n">
        <v>267000</v>
      </c>
      <c r="G83" s="11" t="n">
        <v>880</v>
      </c>
      <c r="H83" s="12" t="n">
        <v>9140000</v>
      </c>
      <c r="I83" s="11" t="n">
        <v>20</v>
      </c>
      <c r="J83" s="12" t="n">
        <v>42500</v>
      </c>
      <c r="K83" s="9" t="str">
        <f aca="false">INDEX(Policy!$B$13:$B$17,MATCH(G83,Policy!$A$13:$A$17,1))</f>
        <v>Excellent</v>
      </c>
      <c r="L83" s="13" t="n">
        <f aca="false">INDEX(Policy!$B$5:$B$9,MATCH(D83,Policy!$A$5:$A$9,0))+INDEX(Policy!$C$13:$C$17,MATCH(G83,Policy!$A$13:$A$17,1))</f>
        <v>0.0875</v>
      </c>
      <c r="M83" s="14" t="n">
        <f aca="false">PMT(L83/12,I83*12,-H83)</f>
        <v>80771.1587943223</v>
      </c>
      <c r="N83" s="15" t="n">
        <f aca="false">(M83+J83)/F83</f>
        <v>0.461689733312069</v>
      </c>
      <c r="O83" s="14" t="n">
        <f aca="false">MAX(0,ROUND(PV(L83/12,I83*12,-(INDEX(Policy!$D$5:$D$9,MATCH(D83,Policy!$A$5:$A$9,0))*F83-J83)),-4))</f>
        <v>10300000</v>
      </c>
      <c r="P83" s="9" t="str">
        <f aca="false">IF(G83&lt;INDEX(Policy!$E$5:$E$9,MATCH(D83,Policy!$A$5:$A$9,0)),"Reject - Low Score",IF(E83+I83&gt;Policy!$B$20,"Reject - Age",IF(I83&gt;INDEX(Policy!$C$5:$C$9,MATCH(D83,Policy!$A$5:$A$9,0)),"Reject - Tenure",IF(N83&lt;=INDEX(Policy!$D$5:$D$9,MATCH(D83,Policy!$A$5:$A$9,0)),"Approve",IF(N83&lt;=INDEX(Policy!$D$5:$D$9,MATCH(D83,Policy!$A$5:$A$9,0))+Policy!$B$21,"Refer to Manager","Reject - High FOIR")))))</f>
        <v>Approve</v>
      </c>
    </row>
    <row r="84" customFormat="false" ht="15" hidden="false" customHeight="false" outlineLevel="0" collapsed="false">
      <c r="A84" s="9" t="s">
        <v>206</v>
      </c>
      <c r="B84" s="9" t="s">
        <v>207</v>
      </c>
      <c r="C84" s="9" t="s">
        <v>29</v>
      </c>
      <c r="D84" s="9" t="s">
        <v>66</v>
      </c>
      <c r="E84" s="11" t="n">
        <v>44</v>
      </c>
      <c r="F84" s="12" t="n">
        <v>35000</v>
      </c>
      <c r="G84" s="11" t="n">
        <v>746</v>
      </c>
      <c r="H84" s="12" t="n">
        <v>380000</v>
      </c>
      <c r="I84" s="11" t="n">
        <v>15</v>
      </c>
      <c r="J84" s="12" t="n">
        <v>0</v>
      </c>
      <c r="K84" s="9" t="str">
        <f aca="false">INDEX(Policy!$B$13:$B$17,MATCH(G84,Policy!$A$13:$A$17,1))</f>
        <v>Good</v>
      </c>
      <c r="L84" s="13" t="n">
        <f aca="false">INDEX(Policy!$B$5:$B$9,MATCH(D84,Policy!$A$5:$A$9,0))+INDEX(Policy!$C$13:$C$17,MATCH(G84,Policy!$A$13:$A$17,1))</f>
        <v>0.1025</v>
      </c>
      <c r="M84" s="14" t="n">
        <f aca="false">PMT(L84/12,I84*12,-H84)</f>
        <v>4141.81348765588</v>
      </c>
      <c r="N84" s="15" t="n">
        <f aca="false">(M84+J84)/F84</f>
        <v>0.118337528218739</v>
      </c>
      <c r="O84" s="14" t="n">
        <f aca="false">MAX(0,ROUND(PV(L84/12,I84*12,-(INDEX(Policy!$D$5:$D$9,MATCH(D84,Policy!$A$5:$A$9,0))*F84-J84)),-4))</f>
        <v>1770000</v>
      </c>
      <c r="P84" s="9" t="str">
        <f aca="false">IF(G84&lt;INDEX(Policy!$E$5:$E$9,MATCH(D84,Policy!$A$5:$A$9,0)),"Reject - Low Score",IF(E84+I84&gt;Policy!$B$20,"Reject - Age",IF(I84&gt;INDEX(Policy!$C$5:$C$9,MATCH(D84,Policy!$A$5:$A$9,0)),"Reject - Tenure",IF(N84&lt;=INDEX(Policy!$D$5:$D$9,MATCH(D84,Policy!$A$5:$A$9,0)),"Approve",IF(N84&lt;=INDEX(Policy!$D$5:$D$9,MATCH(D84,Policy!$A$5:$A$9,0))+Policy!$B$21,"Refer to Manager","Reject - High FOIR")))))</f>
        <v>Approve</v>
      </c>
    </row>
    <row r="85" customFormat="false" ht="15" hidden="false" customHeight="false" outlineLevel="0" collapsed="false">
      <c r="A85" s="9" t="s">
        <v>208</v>
      </c>
      <c r="B85" s="9" t="s">
        <v>209</v>
      </c>
      <c r="C85" s="9" t="s">
        <v>115</v>
      </c>
      <c r="D85" s="9" t="s">
        <v>41</v>
      </c>
      <c r="E85" s="11" t="n">
        <v>36</v>
      </c>
      <c r="F85" s="12" t="n">
        <v>46000</v>
      </c>
      <c r="G85" s="11" t="n">
        <v>749</v>
      </c>
      <c r="H85" s="12" t="n">
        <v>100000</v>
      </c>
      <c r="I85" s="11" t="n">
        <v>4</v>
      </c>
      <c r="J85" s="12" t="n">
        <v>3000</v>
      </c>
      <c r="K85" s="9" t="str">
        <f aca="false">INDEX(Policy!$B$13:$B$17,MATCH(G85,Policy!$A$13:$A$17,1))</f>
        <v>Good</v>
      </c>
      <c r="L85" s="13" t="n">
        <f aca="false">INDEX(Policy!$B$5:$B$9,MATCH(D85,Policy!$A$5:$A$9,0))+INDEX(Policy!$C$13:$C$17,MATCH(G85,Policy!$A$13:$A$17,1))</f>
        <v>0.1225</v>
      </c>
      <c r="M85" s="14" t="n">
        <f aca="false">PMT(L85/12,I85*12,-H85)</f>
        <v>2645.6750254919</v>
      </c>
      <c r="N85" s="15" t="n">
        <f aca="false">(M85+J85)/F85</f>
        <v>0.122732065771563</v>
      </c>
      <c r="O85" s="14" t="n">
        <f aca="false">MAX(0,ROUND(PV(L85/12,I85*12,-(INDEX(Policy!$D$5:$D$9,MATCH(D85,Policy!$A$5:$A$9,0))*F85-J85)),-4))</f>
        <v>670000</v>
      </c>
      <c r="P85" s="9" t="str">
        <f aca="false">IF(G85&lt;INDEX(Policy!$E$5:$E$9,MATCH(D85,Policy!$A$5:$A$9,0)),"Reject - Low Score",IF(E85+I85&gt;Policy!$B$20,"Reject - Age",IF(I85&gt;INDEX(Policy!$C$5:$C$9,MATCH(D85,Policy!$A$5:$A$9,0)),"Reject - Tenure",IF(N85&lt;=INDEX(Policy!$D$5:$D$9,MATCH(D85,Policy!$A$5:$A$9,0)),"Approve",IF(N85&lt;=INDEX(Policy!$D$5:$D$9,MATCH(D85,Policy!$A$5:$A$9,0))+Policy!$B$21,"Refer to Manager","Reject - High FOIR")))))</f>
        <v>Approve</v>
      </c>
    </row>
    <row r="86" customFormat="false" ht="15" hidden="false" customHeight="false" outlineLevel="0" collapsed="false">
      <c r="A86" s="9" t="s">
        <v>210</v>
      </c>
      <c r="B86" s="9" t="s">
        <v>211</v>
      </c>
      <c r="C86" s="9" t="s">
        <v>80</v>
      </c>
      <c r="D86" s="9" t="s">
        <v>30</v>
      </c>
      <c r="E86" s="11" t="n">
        <v>46</v>
      </c>
      <c r="F86" s="12" t="n">
        <v>132000</v>
      </c>
      <c r="G86" s="11" t="n">
        <v>728</v>
      </c>
      <c r="H86" s="12" t="n">
        <v>1050000</v>
      </c>
      <c r="I86" s="11" t="n">
        <v>4</v>
      </c>
      <c r="J86" s="12" t="n">
        <v>0</v>
      </c>
      <c r="K86" s="9" t="str">
        <f aca="false">INDEX(Policy!$B$13:$B$17,MATCH(G86,Policy!$A$13:$A$17,1))</f>
        <v>Good</v>
      </c>
      <c r="L86" s="13" t="n">
        <f aca="false">INDEX(Policy!$B$5:$B$9,MATCH(D86,Policy!$A$5:$A$9,0))+INDEX(Policy!$C$13:$C$17,MATCH(G86,Policy!$A$13:$A$17,1))</f>
        <v>0.1</v>
      </c>
      <c r="M86" s="14" t="n">
        <f aca="false">PMT(L86/12,I86*12,-H86)</f>
        <v>26630.7126064845</v>
      </c>
      <c r="N86" s="15" t="n">
        <f aca="false">(M86+J86)/F86</f>
        <v>0.201747822776398</v>
      </c>
      <c r="O86" s="14" t="n">
        <f aca="false">MAX(0,ROUND(PV(L86/12,I86*12,-(INDEX(Policy!$D$5:$D$9,MATCH(D86,Policy!$A$5:$A$9,0))*F86-J86)),-4))</f>
        <v>2600000</v>
      </c>
      <c r="P86" s="9" t="str">
        <f aca="false">IF(G86&lt;INDEX(Policy!$E$5:$E$9,MATCH(D86,Policy!$A$5:$A$9,0)),"Reject - Low Score",IF(E86+I86&gt;Policy!$B$20,"Reject - Age",IF(I86&gt;INDEX(Policy!$C$5:$C$9,MATCH(D86,Policy!$A$5:$A$9,0)),"Reject - Tenure",IF(N86&lt;=INDEX(Policy!$D$5:$D$9,MATCH(D86,Policy!$A$5:$A$9,0)),"Approve",IF(N86&lt;=INDEX(Policy!$D$5:$D$9,MATCH(D86,Policy!$A$5:$A$9,0))+Policy!$B$21,"Refer to Manager","Reject - High FOIR")))))</f>
        <v>Approve</v>
      </c>
    </row>
    <row r="87" customFormat="false" ht="15" hidden="false" customHeight="false" outlineLevel="0" collapsed="false">
      <c r="A87" s="9" t="s">
        <v>212</v>
      </c>
      <c r="B87" s="9" t="s">
        <v>213</v>
      </c>
      <c r="C87" s="9" t="s">
        <v>40</v>
      </c>
      <c r="D87" s="9" t="s">
        <v>41</v>
      </c>
      <c r="E87" s="11" t="n">
        <v>25</v>
      </c>
      <c r="F87" s="12" t="n">
        <v>85000</v>
      </c>
      <c r="G87" s="11" t="n">
        <v>726</v>
      </c>
      <c r="H87" s="12" t="n">
        <v>310000</v>
      </c>
      <c r="I87" s="11" t="n">
        <v>4</v>
      </c>
      <c r="J87" s="12" t="n">
        <v>0</v>
      </c>
      <c r="K87" s="9" t="str">
        <f aca="false">INDEX(Policy!$B$13:$B$17,MATCH(G87,Policy!$A$13:$A$17,1))</f>
        <v>Good</v>
      </c>
      <c r="L87" s="13" t="n">
        <f aca="false">INDEX(Policy!$B$5:$B$9,MATCH(D87,Policy!$A$5:$A$9,0))+INDEX(Policy!$C$13:$C$17,MATCH(G87,Policy!$A$13:$A$17,1))</f>
        <v>0.1225</v>
      </c>
      <c r="M87" s="14" t="n">
        <f aca="false">PMT(L87/12,I87*12,-H87)</f>
        <v>8201.5925790249</v>
      </c>
      <c r="N87" s="15" t="n">
        <f aca="false">(M87+J87)/F87</f>
        <v>0.0964893244591164</v>
      </c>
      <c r="O87" s="14" t="n">
        <f aca="false">MAX(0,ROUND(PV(L87/12,I87*12,-(INDEX(Policy!$D$5:$D$9,MATCH(D87,Policy!$A$5:$A$9,0))*F87-J87)),-4))</f>
        <v>1450000</v>
      </c>
      <c r="P87" s="9" t="str">
        <f aca="false">IF(G87&lt;INDEX(Policy!$E$5:$E$9,MATCH(D87,Policy!$A$5:$A$9,0)),"Reject - Low Score",IF(E87+I87&gt;Policy!$B$20,"Reject - Age",IF(I87&gt;INDEX(Policy!$C$5:$C$9,MATCH(D87,Policy!$A$5:$A$9,0)),"Reject - Tenure",IF(N87&lt;=INDEX(Policy!$D$5:$D$9,MATCH(D87,Policy!$A$5:$A$9,0)),"Approve",IF(N87&lt;=INDEX(Policy!$D$5:$D$9,MATCH(D87,Policy!$A$5:$A$9,0))+Policy!$B$21,"Refer to Manager","Reject - High FOIR")))))</f>
        <v>Approve</v>
      </c>
    </row>
    <row r="88" customFormat="false" ht="15" hidden="false" customHeight="false" outlineLevel="0" collapsed="false">
      <c r="A88" s="9" t="s">
        <v>214</v>
      </c>
      <c r="B88" s="9" t="s">
        <v>215</v>
      </c>
      <c r="C88" s="9" t="s">
        <v>36</v>
      </c>
      <c r="D88" s="9" t="s">
        <v>30</v>
      </c>
      <c r="E88" s="11" t="n">
        <v>34</v>
      </c>
      <c r="F88" s="12" t="n">
        <v>108000</v>
      </c>
      <c r="G88" s="11" t="n">
        <v>781</v>
      </c>
      <c r="H88" s="12" t="n">
        <v>1070000</v>
      </c>
      <c r="I88" s="11" t="n">
        <v>3</v>
      </c>
      <c r="J88" s="12" t="n">
        <v>0</v>
      </c>
      <c r="K88" s="9" t="str">
        <f aca="false">INDEX(Policy!$B$13:$B$17,MATCH(G88,Policy!$A$13:$A$17,1))</f>
        <v>Very Good</v>
      </c>
      <c r="L88" s="13" t="n">
        <f aca="false">INDEX(Policy!$B$5:$B$9,MATCH(D88,Policy!$A$5:$A$9,0))+INDEX(Policy!$C$13:$C$17,MATCH(G88,Policy!$A$13:$A$17,1))</f>
        <v>0.095</v>
      </c>
      <c r="M88" s="14" t="n">
        <f aca="false">PMT(L88/12,I88*12,-H88)</f>
        <v>34275.2562226364</v>
      </c>
      <c r="N88" s="15" t="n">
        <f aca="false">(M88+J88)/F88</f>
        <v>0.31736348354293</v>
      </c>
      <c r="O88" s="14" t="n">
        <f aca="false">MAX(0,ROUND(PV(L88/12,I88*12,-(INDEX(Policy!$D$5:$D$9,MATCH(D88,Policy!$A$5:$A$9,0))*F88-J88)),-4))</f>
        <v>1690000</v>
      </c>
      <c r="P88" s="9" t="str">
        <f aca="false">IF(G88&lt;INDEX(Policy!$E$5:$E$9,MATCH(D88,Policy!$A$5:$A$9,0)),"Reject - Low Score",IF(E88+I88&gt;Policy!$B$20,"Reject - Age",IF(I88&gt;INDEX(Policy!$C$5:$C$9,MATCH(D88,Policy!$A$5:$A$9,0)),"Reject - Tenure",IF(N88&lt;=INDEX(Policy!$D$5:$D$9,MATCH(D88,Policy!$A$5:$A$9,0)),"Approve",IF(N88&lt;=INDEX(Policy!$D$5:$D$9,MATCH(D88,Policy!$A$5:$A$9,0))+Policy!$B$21,"Refer to Manager","Reject - High FOIR")))))</f>
        <v>Approve</v>
      </c>
    </row>
    <row r="89" customFormat="false" ht="15" hidden="false" customHeight="false" outlineLevel="0" collapsed="false">
      <c r="A89" s="9" t="s">
        <v>216</v>
      </c>
      <c r="B89" s="9" t="s">
        <v>217</v>
      </c>
      <c r="C89" s="9" t="s">
        <v>59</v>
      </c>
      <c r="D89" s="9" t="s">
        <v>66</v>
      </c>
      <c r="E89" s="11" t="n">
        <v>35</v>
      </c>
      <c r="F89" s="12" t="n">
        <v>158000</v>
      </c>
      <c r="G89" s="11" t="n">
        <v>682</v>
      </c>
      <c r="H89" s="12" t="n">
        <v>1400000</v>
      </c>
      <c r="I89" s="11" t="n">
        <v>15</v>
      </c>
      <c r="J89" s="12" t="n">
        <v>24500</v>
      </c>
      <c r="K89" s="9" t="str">
        <f aca="false">INDEX(Policy!$B$13:$B$17,MATCH(G89,Policy!$A$13:$A$17,1))</f>
        <v>Fair</v>
      </c>
      <c r="L89" s="13" t="n">
        <f aca="false">INDEX(Policy!$B$5:$B$9,MATCH(D89,Policy!$A$5:$A$9,0))+INDEX(Policy!$C$13:$C$17,MATCH(G89,Policy!$A$13:$A$17,1))</f>
        <v>0.11</v>
      </c>
      <c r="M89" s="14" t="n">
        <f aca="false">PMT(L89/12,I89*12,-H89)</f>
        <v>15912.3570837852</v>
      </c>
      <c r="N89" s="15" t="n">
        <f aca="false">(M89+J89)/F89</f>
        <v>0.255774411922691</v>
      </c>
      <c r="O89" s="14" t="n">
        <f aca="false">MAX(0,ROUND(PV(L89/12,I89*12,-(INDEX(Policy!$D$5:$D$9,MATCH(D89,Policy!$A$5:$A$9,0))*F89-J89)),-4))</f>
        <v>5490000</v>
      </c>
      <c r="P89" s="9" t="str">
        <f aca="false">IF(G89&lt;INDEX(Policy!$E$5:$E$9,MATCH(D89,Policy!$A$5:$A$9,0)),"Reject - Low Score",IF(E89+I89&gt;Policy!$B$20,"Reject - Age",IF(I89&gt;INDEX(Policy!$C$5:$C$9,MATCH(D89,Policy!$A$5:$A$9,0)),"Reject - Tenure",IF(N89&lt;=INDEX(Policy!$D$5:$D$9,MATCH(D89,Policy!$A$5:$A$9,0)),"Approve",IF(N89&lt;=INDEX(Policy!$D$5:$D$9,MATCH(D89,Policy!$A$5:$A$9,0))+Policy!$B$21,"Refer to Manager","Reject - High FOIR")))))</f>
        <v>Approve</v>
      </c>
    </row>
    <row r="90" customFormat="false" ht="15" hidden="false" customHeight="false" outlineLevel="0" collapsed="false">
      <c r="A90" s="9" t="s">
        <v>218</v>
      </c>
      <c r="B90" s="9" t="s">
        <v>219</v>
      </c>
      <c r="C90" s="9" t="s">
        <v>29</v>
      </c>
      <c r="D90" s="9" t="s">
        <v>33</v>
      </c>
      <c r="E90" s="11" t="n">
        <v>36</v>
      </c>
      <c r="F90" s="12" t="n">
        <v>70000</v>
      </c>
      <c r="G90" s="11" t="n">
        <v>780</v>
      </c>
      <c r="H90" s="12" t="n">
        <v>1190000</v>
      </c>
      <c r="I90" s="11" t="n">
        <v>3</v>
      </c>
      <c r="J90" s="12" t="n">
        <v>0</v>
      </c>
      <c r="K90" s="9" t="str">
        <f aca="false">INDEX(Policy!$B$13:$B$17,MATCH(G90,Policy!$A$13:$A$17,1))</f>
        <v>Very Good</v>
      </c>
      <c r="L90" s="13" t="n">
        <f aca="false">INDEX(Policy!$B$5:$B$9,MATCH(D90,Policy!$A$5:$A$9,0))+INDEX(Policy!$C$13:$C$17,MATCH(G90,Policy!$A$13:$A$17,1))</f>
        <v>0.1225</v>
      </c>
      <c r="M90" s="14" t="n">
        <f aca="false">PMT(L90/12,I90*12,-H90)</f>
        <v>39667.2710915729</v>
      </c>
      <c r="N90" s="15" t="n">
        <f aca="false">(M90+J90)/F90</f>
        <v>0.566675301308184</v>
      </c>
      <c r="O90" s="14" t="n">
        <f aca="false">MAX(0,ROUND(PV(L90/12,I90*12,-(INDEX(Policy!$D$5:$D$9,MATCH(D90,Policy!$A$5:$A$9,0))*F90-J90)),-4))</f>
        <v>1050000</v>
      </c>
      <c r="P90" s="9" t="str">
        <f aca="false">IF(G90&lt;INDEX(Policy!$E$5:$E$9,MATCH(D90,Policy!$A$5:$A$9,0)),"Reject - Low Score",IF(E90+I90&gt;Policy!$B$20,"Reject - Age",IF(I90&gt;INDEX(Policy!$C$5:$C$9,MATCH(D90,Policy!$A$5:$A$9,0)),"Reject - Tenure",IF(N90&lt;=INDEX(Policy!$D$5:$D$9,MATCH(D90,Policy!$A$5:$A$9,0)),"Approve",IF(N90&lt;=INDEX(Policy!$D$5:$D$9,MATCH(D90,Policy!$A$5:$A$9,0))+Policy!$B$21,"Refer to Manager","Reject - High FOIR")))))</f>
        <v>Reject - High FOIR</v>
      </c>
    </row>
    <row r="91" customFormat="false" ht="15" hidden="false" customHeight="false" outlineLevel="0" collapsed="false">
      <c r="A91" s="9" t="s">
        <v>220</v>
      </c>
      <c r="B91" s="9" t="s">
        <v>221</v>
      </c>
      <c r="C91" s="9" t="s">
        <v>71</v>
      </c>
      <c r="D91" s="9" t="s">
        <v>30</v>
      </c>
      <c r="E91" s="11" t="n">
        <v>47</v>
      </c>
      <c r="F91" s="12" t="n">
        <v>133000</v>
      </c>
      <c r="G91" s="11" t="n">
        <v>659</v>
      </c>
      <c r="H91" s="12" t="n">
        <v>1100000</v>
      </c>
      <c r="I91" s="11" t="n">
        <v>5</v>
      </c>
      <c r="J91" s="12" t="n">
        <v>11000</v>
      </c>
      <c r="K91" s="9" t="str">
        <f aca="false">INDEX(Policy!$B$13:$B$17,MATCH(G91,Policy!$A$13:$A$17,1))</f>
        <v>Fair</v>
      </c>
      <c r="L91" s="13" t="n">
        <f aca="false">INDEX(Policy!$B$5:$B$9,MATCH(D91,Policy!$A$5:$A$9,0))+INDEX(Policy!$C$13:$C$17,MATCH(G91,Policy!$A$13:$A$17,1))</f>
        <v>0.1075</v>
      </c>
      <c r="M91" s="14" t="n">
        <f aca="false">PMT(L91/12,I91*12,-H91)</f>
        <v>23779.7490495659</v>
      </c>
      <c r="N91" s="15" t="n">
        <f aca="false">(M91+J91)/F91</f>
        <v>0.261501872553127</v>
      </c>
      <c r="O91" s="14" t="n">
        <f aca="false">MAX(0,ROUND(PV(L91/12,I91*12,-(INDEX(Policy!$D$5:$D$9,MATCH(D91,Policy!$A$5:$A$9,0))*F91-J91)),-4))</f>
        <v>2570000</v>
      </c>
      <c r="P91" s="9" t="str">
        <f aca="false">IF(G91&lt;INDEX(Policy!$E$5:$E$9,MATCH(D91,Policy!$A$5:$A$9,0)),"Reject - Low Score",IF(E91+I91&gt;Policy!$B$20,"Reject - Age",IF(I91&gt;INDEX(Policy!$C$5:$C$9,MATCH(D91,Policy!$A$5:$A$9,0)),"Reject - Tenure",IF(N91&lt;=INDEX(Policy!$D$5:$D$9,MATCH(D91,Policy!$A$5:$A$9,0)),"Approve",IF(N91&lt;=INDEX(Policy!$D$5:$D$9,MATCH(D91,Policy!$A$5:$A$9,0))+Policy!$B$21,"Refer to Manager","Reject - High FOIR")))))</f>
        <v>Reject - Low Score</v>
      </c>
    </row>
    <row r="92" customFormat="false" ht="15" hidden="false" customHeight="false" outlineLevel="0" collapsed="false">
      <c r="A92" s="9" t="s">
        <v>222</v>
      </c>
      <c r="B92" s="9" t="s">
        <v>223</v>
      </c>
      <c r="C92" s="9" t="s">
        <v>71</v>
      </c>
      <c r="D92" s="9" t="s">
        <v>37</v>
      </c>
      <c r="E92" s="11" t="n">
        <v>47</v>
      </c>
      <c r="F92" s="12" t="n">
        <v>75000</v>
      </c>
      <c r="G92" s="11" t="n">
        <v>804</v>
      </c>
      <c r="H92" s="12" t="n">
        <v>3140000</v>
      </c>
      <c r="I92" s="11" t="n">
        <v>30</v>
      </c>
      <c r="J92" s="12" t="n">
        <v>0</v>
      </c>
      <c r="K92" s="9" t="str">
        <f aca="false">INDEX(Policy!$B$13:$B$17,MATCH(G92,Policy!$A$13:$A$17,1))</f>
        <v>Excellent</v>
      </c>
      <c r="L92" s="13" t="n">
        <f aca="false">INDEX(Policy!$B$5:$B$9,MATCH(D92,Policy!$A$5:$A$9,0))+INDEX(Policy!$C$13:$C$17,MATCH(G92,Policy!$A$13:$A$17,1))</f>
        <v>0.0875</v>
      </c>
      <c r="M92" s="14" t="n">
        <f aca="false">PMT(L92/12,I92*12,-H92)</f>
        <v>24702.3927362599</v>
      </c>
      <c r="N92" s="15" t="n">
        <f aca="false">(M92+J92)/F92</f>
        <v>0.329365236483465</v>
      </c>
      <c r="O92" s="14" t="n">
        <f aca="false">MAX(0,ROUND(PV(L92/12,I92*12,-(INDEX(Policy!$D$5:$D$9,MATCH(D92,Policy!$A$5:$A$9,0))*F92-J92)),-4))</f>
        <v>4770000</v>
      </c>
      <c r="P92" s="9" t="str">
        <f aca="false">IF(G92&lt;INDEX(Policy!$E$5:$E$9,MATCH(D92,Policy!$A$5:$A$9,0)),"Reject - Low Score",IF(E92+I92&gt;Policy!$B$20,"Reject - Age",IF(I92&gt;INDEX(Policy!$C$5:$C$9,MATCH(D92,Policy!$A$5:$A$9,0)),"Reject - Tenure",IF(N92&lt;=INDEX(Policy!$D$5:$D$9,MATCH(D92,Policy!$A$5:$A$9,0)),"Approve",IF(N92&lt;=INDEX(Policy!$D$5:$D$9,MATCH(D92,Policy!$A$5:$A$9,0))+Policy!$B$21,"Refer to Manager","Reject - High FOIR")))))</f>
        <v>Reject - Age</v>
      </c>
    </row>
    <row r="93" customFormat="false" ht="15" hidden="false" customHeight="false" outlineLevel="0" collapsed="false">
      <c r="A93" s="9" t="s">
        <v>224</v>
      </c>
      <c r="B93" s="9" t="s">
        <v>225</v>
      </c>
      <c r="C93" s="9" t="s">
        <v>54</v>
      </c>
      <c r="D93" s="9" t="s">
        <v>33</v>
      </c>
      <c r="E93" s="11" t="n">
        <v>31</v>
      </c>
      <c r="F93" s="12" t="n">
        <v>62000</v>
      </c>
      <c r="G93" s="11" t="n">
        <v>813</v>
      </c>
      <c r="H93" s="12" t="n">
        <v>1390000</v>
      </c>
      <c r="I93" s="11" t="n">
        <v>3</v>
      </c>
      <c r="J93" s="12" t="n">
        <v>16000</v>
      </c>
      <c r="K93" s="9" t="str">
        <f aca="false">INDEX(Policy!$B$13:$B$17,MATCH(G93,Policy!$A$13:$A$17,1))</f>
        <v>Excellent</v>
      </c>
      <c r="L93" s="13" t="n">
        <f aca="false">INDEX(Policy!$B$5:$B$9,MATCH(D93,Policy!$A$5:$A$9,0))+INDEX(Policy!$C$13:$C$17,MATCH(G93,Policy!$A$13:$A$17,1))</f>
        <v>0.12</v>
      </c>
      <c r="M93" s="14" t="n">
        <f aca="false">PMT(L93/12,I93*12,-H93)</f>
        <v>46167.8906398632</v>
      </c>
      <c r="N93" s="15" t="n">
        <f aca="false">(M93+J93)/F93</f>
        <v>1.00270791354618</v>
      </c>
      <c r="O93" s="14" t="n">
        <f aca="false">MAX(0,ROUND(PV(L93/12,I93*12,-(INDEX(Policy!$D$5:$D$9,MATCH(D93,Policy!$A$5:$A$9,0))*F93-J93)),-4))</f>
        <v>450000</v>
      </c>
      <c r="P93" s="9" t="str">
        <f aca="false">IF(G93&lt;INDEX(Policy!$E$5:$E$9,MATCH(D93,Policy!$A$5:$A$9,0)),"Reject - Low Score",IF(E93+I93&gt;Policy!$B$20,"Reject - Age",IF(I93&gt;INDEX(Policy!$C$5:$C$9,MATCH(D93,Policy!$A$5:$A$9,0)),"Reject - Tenure",IF(N93&lt;=INDEX(Policy!$D$5:$D$9,MATCH(D93,Policy!$A$5:$A$9,0)),"Approve",IF(N93&lt;=INDEX(Policy!$D$5:$D$9,MATCH(D93,Policy!$A$5:$A$9,0))+Policy!$B$21,"Refer to Manager","Reject - High FOIR")))))</f>
        <v>Reject - High FOIR</v>
      </c>
    </row>
    <row r="94" customFormat="false" ht="15" hidden="false" customHeight="false" outlineLevel="0" collapsed="false">
      <c r="A94" s="9" t="s">
        <v>226</v>
      </c>
      <c r="B94" s="9" t="s">
        <v>227</v>
      </c>
      <c r="C94" s="9" t="s">
        <v>51</v>
      </c>
      <c r="D94" s="9" t="s">
        <v>37</v>
      </c>
      <c r="E94" s="11" t="n">
        <v>30</v>
      </c>
      <c r="F94" s="12" t="n">
        <v>125000</v>
      </c>
      <c r="G94" s="11" t="n">
        <v>777</v>
      </c>
      <c r="H94" s="12" t="n">
        <v>4810000</v>
      </c>
      <c r="I94" s="11" t="n">
        <v>25</v>
      </c>
      <c r="J94" s="12" t="n">
        <v>0</v>
      </c>
      <c r="K94" s="9" t="str">
        <f aca="false">INDEX(Policy!$B$13:$B$17,MATCH(G94,Policy!$A$13:$A$17,1))</f>
        <v>Very Good</v>
      </c>
      <c r="L94" s="13" t="n">
        <f aca="false">INDEX(Policy!$B$5:$B$9,MATCH(D94,Policy!$A$5:$A$9,0))+INDEX(Policy!$C$13:$C$17,MATCH(G94,Policy!$A$13:$A$17,1))</f>
        <v>0.09</v>
      </c>
      <c r="M94" s="14" t="n">
        <f aca="false">PMT(L94/12,I94*12,-H94)</f>
        <v>40365.345090836</v>
      </c>
      <c r="N94" s="15" t="n">
        <f aca="false">(M94+J94)/F94</f>
        <v>0.322922760726688</v>
      </c>
      <c r="O94" s="14" t="n">
        <f aca="false">MAX(0,ROUND(PV(L94/12,I94*12,-(INDEX(Policy!$D$5:$D$9,MATCH(D94,Policy!$A$5:$A$9,0))*F94-J94)),-4))</f>
        <v>7450000</v>
      </c>
      <c r="P94" s="9" t="str">
        <f aca="false">IF(G94&lt;INDEX(Policy!$E$5:$E$9,MATCH(D94,Policy!$A$5:$A$9,0)),"Reject - Low Score",IF(E94+I94&gt;Policy!$B$20,"Reject - Age",IF(I94&gt;INDEX(Policy!$C$5:$C$9,MATCH(D94,Policy!$A$5:$A$9,0)),"Reject - Tenure",IF(N94&lt;=INDEX(Policy!$D$5:$D$9,MATCH(D94,Policy!$A$5:$A$9,0)),"Approve",IF(N94&lt;=INDEX(Policy!$D$5:$D$9,MATCH(D94,Policy!$A$5:$A$9,0))+Policy!$B$21,"Refer to Manager","Reject - High FOIR")))))</f>
        <v>Approve</v>
      </c>
    </row>
    <row r="95" customFormat="false" ht="15" hidden="false" customHeight="false" outlineLevel="0" collapsed="false">
      <c r="A95" s="9" t="s">
        <v>228</v>
      </c>
      <c r="B95" s="9" t="s">
        <v>229</v>
      </c>
      <c r="C95" s="9" t="s">
        <v>29</v>
      </c>
      <c r="D95" s="9" t="s">
        <v>30</v>
      </c>
      <c r="E95" s="11" t="n">
        <v>27</v>
      </c>
      <c r="F95" s="12" t="n">
        <v>379000</v>
      </c>
      <c r="G95" s="11" t="n">
        <v>786</v>
      </c>
      <c r="H95" s="12" t="n">
        <v>1820000</v>
      </c>
      <c r="I95" s="11" t="n">
        <v>7</v>
      </c>
      <c r="J95" s="12" t="n">
        <v>0</v>
      </c>
      <c r="K95" s="9" t="str">
        <f aca="false">INDEX(Policy!$B$13:$B$17,MATCH(G95,Policy!$A$13:$A$17,1))</f>
        <v>Very Good</v>
      </c>
      <c r="L95" s="13" t="n">
        <f aca="false">INDEX(Policy!$B$5:$B$9,MATCH(D95,Policy!$A$5:$A$9,0))+INDEX(Policy!$C$13:$C$17,MATCH(G95,Policy!$A$13:$A$17,1))</f>
        <v>0.095</v>
      </c>
      <c r="M95" s="14" t="n">
        <f aca="false">PMT(L95/12,I95*12,-H95)</f>
        <v>29746.0466599631</v>
      </c>
      <c r="N95" s="15" t="n">
        <f aca="false">(M95+J95)/F95</f>
        <v>0.0784856112400083</v>
      </c>
      <c r="O95" s="14" t="n">
        <f aca="false">MAX(0,ROUND(PV(L95/12,I95*12,-(INDEX(Policy!$D$5:$D$9,MATCH(D95,Policy!$A$5:$A$9,0))*F95-J95)),-4))</f>
        <v>11590000</v>
      </c>
      <c r="P95" s="9" t="str">
        <f aca="false">IF(G95&lt;INDEX(Policy!$E$5:$E$9,MATCH(D95,Policy!$A$5:$A$9,0)),"Reject - Low Score",IF(E95+I95&gt;Policy!$B$20,"Reject - Age",IF(I95&gt;INDEX(Policy!$C$5:$C$9,MATCH(D95,Policy!$A$5:$A$9,0)),"Reject - Tenure",IF(N95&lt;=INDEX(Policy!$D$5:$D$9,MATCH(D95,Policy!$A$5:$A$9,0)),"Approve",IF(N95&lt;=INDEX(Policy!$D$5:$D$9,MATCH(D95,Policy!$A$5:$A$9,0))+Policy!$B$21,"Refer to Manager","Reject - High FOIR")))))</f>
        <v>Approve</v>
      </c>
    </row>
    <row r="96" customFormat="false" ht="15" hidden="false" customHeight="false" outlineLevel="0" collapsed="false">
      <c r="A96" s="9" t="s">
        <v>230</v>
      </c>
      <c r="B96" s="9" t="s">
        <v>231</v>
      </c>
      <c r="C96" s="9" t="s">
        <v>51</v>
      </c>
      <c r="D96" s="9" t="s">
        <v>33</v>
      </c>
      <c r="E96" s="11" t="n">
        <v>47</v>
      </c>
      <c r="F96" s="12" t="n">
        <v>68000</v>
      </c>
      <c r="G96" s="11" t="n">
        <v>771</v>
      </c>
      <c r="H96" s="12" t="n">
        <v>1250000</v>
      </c>
      <c r="I96" s="11" t="n">
        <v>5</v>
      </c>
      <c r="J96" s="12" t="n">
        <v>19000</v>
      </c>
      <c r="K96" s="9" t="str">
        <f aca="false">INDEX(Policy!$B$13:$B$17,MATCH(G96,Policy!$A$13:$A$17,1))</f>
        <v>Very Good</v>
      </c>
      <c r="L96" s="13" t="n">
        <f aca="false">INDEX(Policy!$B$5:$B$9,MATCH(D96,Policy!$A$5:$A$9,0))+INDEX(Policy!$C$13:$C$17,MATCH(G96,Policy!$A$13:$A$17,1))</f>
        <v>0.1225</v>
      </c>
      <c r="M96" s="14" t="n">
        <f aca="false">PMT(L96/12,I96*12,-H96)</f>
        <v>27963.7338053652</v>
      </c>
      <c r="N96" s="15" t="n">
        <f aca="false">(M96+J96)/F96</f>
        <v>0.690643144196548</v>
      </c>
      <c r="O96" s="14" t="n">
        <f aca="false">MAX(0,ROUND(PV(L96/12,I96*12,-(INDEX(Policy!$D$5:$D$9,MATCH(D96,Policy!$A$5:$A$9,0))*F96-J96)),-4))</f>
        <v>670000</v>
      </c>
      <c r="P96" s="9" t="str">
        <f aca="false">IF(G96&lt;INDEX(Policy!$E$5:$E$9,MATCH(D96,Policy!$A$5:$A$9,0)),"Reject - Low Score",IF(E96+I96&gt;Policy!$B$20,"Reject - Age",IF(I96&gt;INDEX(Policy!$C$5:$C$9,MATCH(D96,Policy!$A$5:$A$9,0)),"Reject - Tenure",IF(N96&lt;=INDEX(Policy!$D$5:$D$9,MATCH(D96,Policy!$A$5:$A$9,0)),"Approve",IF(N96&lt;=INDEX(Policy!$D$5:$D$9,MATCH(D96,Policy!$A$5:$A$9,0))+Policy!$B$21,"Refer to Manager","Reject - High FOIR")))))</f>
        <v>Reject - High FOIR</v>
      </c>
    </row>
    <row r="97" customFormat="false" ht="15" hidden="false" customHeight="false" outlineLevel="0" collapsed="false">
      <c r="A97" s="9" t="s">
        <v>232</v>
      </c>
      <c r="B97" s="9" t="s">
        <v>233</v>
      </c>
      <c r="C97" s="9" t="s">
        <v>71</v>
      </c>
      <c r="D97" s="9" t="s">
        <v>37</v>
      </c>
      <c r="E97" s="11" t="n">
        <v>25</v>
      </c>
      <c r="F97" s="12" t="n">
        <v>63000</v>
      </c>
      <c r="G97" s="11" t="n">
        <v>719</v>
      </c>
      <c r="H97" s="12" t="n">
        <v>1490000</v>
      </c>
      <c r="I97" s="11" t="n">
        <v>20</v>
      </c>
      <c r="J97" s="12" t="n">
        <v>0</v>
      </c>
      <c r="K97" s="9" t="str">
        <f aca="false">INDEX(Policy!$B$13:$B$17,MATCH(G97,Policy!$A$13:$A$17,1))</f>
        <v>Good</v>
      </c>
      <c r="L97" s="13" t="n">
        <f aca="false">INDEX(Policy!$B$5:$B$9,MATCH(D97,Policy!$A$5:$A$9,0))+INDEX(Policy!$C$13:$C$17,MATCH(G97,Policy!$A$13:$A$17,1))</f>
        <v>0.095</v>
      </c>
      <c r="M97" s="14" t="n">
        <f aca="false">PMT(L97/12,I97*12,-H97)</f>
        <v>13888.7546987194</v>
      </c>
      <c r="N97" s="15" t="n">
        <f aca="false">(M97+J97)/F97</f>
        <v>0.220456423789197</v>
      </c>
      <c r="O97" s="14" t="n">
        <f aca="false">MAX(0,ROUND(PV(L97/12,I97*12,-(INDEX(Policy!$D$5:$D$9,MATCH(D97,Policy!$A$5:$A$9,0))*F97-J97)),-4))</f>
        <v>3380000</v>
      </c>
      <c r="P97" s="9" t="str">
        <f aca="false">IF(G97&lt;INDEX(Policy!$E$5:$E$9,MATCH(D97,Policy!$A$5:$A$9,0)),"Reject - Low Score",IF(E97+I97&gt;Policy!$B$20,"Reject - Age",IF(I97&gt;INDEX(Policy!$C$5:$C$9,MATCH(D97,Policy!$A$5:$A$9,0)),"Reject - Tenure",IF(N97&lt;=INDEX(Policy!$D$5:$D$9,MATCH(D97,Policy!$A$5:$A$9,0)),"Approve",IF(N97&lt;=INDEX(Policy!$D$5:$D$9,MATCH(D97,Policy!$A$5:$A$9,0))+Policy!$B$21,"Refer to Manager","Reject - High FOIR")))))</f>
        <v>Approve</v>
      </c>
    </row>
    <row r="98" customFormat="false" ht="15" hidden="false" customHeight="false" outlineLevel="0" collapsed="false">
      <c r="A98" s="9" t="s">
        <v>234</v>
      </c>
      <c r="B98" s="9" t="s">
        <v>235</v>
      </c>
      <c r="C98" s="9" t="s">
        <v>44</v>
      </c>
      <c r="D98" s="9" t="s">
        <v>41</v>
      </c>
      <c r="E98" s="11" t="n">
        <v>37</v>
      </c>
      <c r="F98" s="12" t="n">
        <v>93000</v>
      </c>
      <c r="G98" s="11" t="n">
        <v>768</v>
      </c>
      <c r="H98" s="12" t="n">
        <v>110000</v>
      </c>
      <c r="I98" s="11" t="n">
        <v>4</v>
      </c>
      <c r="J98" s="12" t="n">
        <v>0</v>
      </c>
      <c r="K98" s="9" t="str">
        <f aca="false">INDEX(Policy!$B$13:$B$17,MATCH(G98,Policy!$A$13:$A$17,1))</f>
        <v>Very Good</v>
      </c>
      <c r="L98" s="13" t="n">
        <f aca="false">INDEX(Policy!$B$5:$B$9,MATCH(D98,Policy!$A$5:$A$9,0))+INDEX(Policy!$C$13:$C$17,MATCH(G98,Policy!$A$13:$A$17,1))</f>
        <v>0.1175</v>
      </c>
      <c r="M98" s="14" t="n">
        <f aca="false">PMT(L98/12,I98*12,-H98)</f>
        <v>2883.23803282288</v>
      </c>
      <c r="N98" s="15" t="n">
        <f aca="false">(M98+J98)/F98</f>
        <v>0.0310025594927191</v>
      </c>
      <c r="O98" s="14" t="n">
        <f aca="false">MAX(0,ROUND(PV(L98/12,I98*12,-(INDEX(Policy!$D$5:$D$9,MATCH(D98,Policy!$A$5:$A$9,0))*F98-J98)),-4))</f>
        <v>1600000</v>
      </c>
      <c r="P98" s="9" t="str">
        <f aca="false">IF(G98&lt;INDEX(Policy!$E$5:$E$9,MATCH(D98,Policy!$A$5:$A$9,0)),"Reject - Low Score",IF(E98+I98&gt;Policy!$B$20,"Reject - Age",IF(I98&gt;INDEX(Policy!$C$5:$C$9,MATCH(D98,Policy!$A$5:$A$9,0)),"Reject - Tenure",IF(N98&lt;=INDEX(Policy!$D$5:$D$9,MATCH(D98,Policy!$A$5:$A$9,0)),"Approve",IF(N98&lt;=INDEX(Policy!$D$5:$D$9,MATCH(D98,Policy!$A$5:$A$9,0))+Policy!$B$21,"Refer to Manager","Reject - High FOIR")))))</f>
        <v>Approve</v>
      </c>
    </row>
    <row r="99" customFormat="false" ht="15" hidden="false" customHeight="false" outlineLevel="0" collapsed="false">
      <c r="A99" s="9" t="s">
        <v>236</v>
      </c>
      <c r="B99" s="9" t="s">
        <v>237</v>
      </c>
      <c r="C99" s="9" t="s">
        <v>36</v>
      </c>
      <c r="D99" s="9" t="s">
        <v>37</v>
      </c>
      <c r="E99" s="11" t="n">
        <v>27</v>
      </c>
      <c r="F99" s="12" t="n">
        <v>35000</v>
      </c>
      <c r="G99" s="11" t="n">
        <v>747</v>
      </c>
      <c r="H99" s="12" t="n">
        <v>640000</v>
      </c>
      <c r="I99" s="11" t="n">
        <v>25</v>
      </c>
      <c r="J99" s="12" t="n">
        <v>5000</v>
      </c>
      <c r="K99" s="9" t="str">
        <f aca="false">INDEX(Policy!$B$13:$B$17,MATCH(G99,Policy!$A$13:$A$17,1))</f>
        <v>Good</v>
      </c>
      <c r="L99" s="13" t="n">
        <f aca="false">INDEX(Policy!$B$5:$B$9,MATCH(D99,Policy!$A$5:$A$9,0))+INDEX(Policy!$C$13:$C$17,MATCH(G99,Policy!$A$13:$A$17,1))</f>
        <v>0.095</v>
      </c>
      <c r="M99" s="14" t="n">
        <f aca="false">PMT(L99/12,I99*12,-H99)</f>
        <v>5591.65862952368</v>
      </c>
      <c r="N99" s="15" t="n">
        <f aca="false">(M99+J99)/F99</f>
        <v>0.302618817986391</v>
      </c>
      <c r="O99" s="14" t="n">
        <f aca="false">MAX(0,ROUND(PV(L99/12,I99*12,-(INDEX(Policy!$D$5:$D$9,MATCH(D99,Policy!$A$5:$A$9,0))*F99-J99)),-4))</f>
        <v>1430000</v>
      </c>
      <c r="P99" s="9" t="str">
        <f aca="false">IF(G99&lt;INDEX(Policy!$E$5:$E$9,MATCH(D99,Policy!$A$5:$A$9,0)),"Reject - Low Score",IF(E99+I99&gt;Policy!$B$20,"Reject - Age",IF(I99&gt;INDEX(Policy!$C$5:$C$9,MATCH(D99,Policy!$A$5:$A$9,0)),"Reject - Tenure",IF(N99&lt;=INDEX(Policy!$D$5:$D$9,MATCH(D99,Policy!$A$5:$A$9,0)),"Approve",IF(N99&lt;=INDEX(Policy!$D$5:$D$9,MATCH(D99,Policy!$A$5:$A$9,0))+Policy!$B$21,"Refer to Manager","Reject - High FOIR")))))</f>
        <v>Approve</v>
      </c>
    </row>
    <row r="100" customFormat="false" ht="15" hidden="false" customHeight="false" outlineLevel="0" collapsed="false">
      <c r="A100" s="9" t="s">
        <v>238</v>
      </c>
      <c r="B100" s="9" t="s">
        <v>239</v>
      </c>
      <c r="C100" s="9" t="s">
        <v>59</v>
      </c>
      <c r="D100" s="9" t="s">
        <v>41</v>
      </c>
      <c r="E100" s="11" t="n">
        <v>31</v>
      </c>
      <c r="F100" s="12" t="n">
        <v>83000</v>
      </c>
      <c r="G100" s="11" t="n">
        <v>716</v>
      </c>
      <c r="H100" s="12" t="n">
        <v>370000</v>
      </c>
      <c r="I100" s="11" t="n">
        <v>3</v>
      </c>
      <c r="J100" s="12" t="n">
        <v>0</v>
      </c>
      <c r="K100" s="9" t="str">
        <f aca="false">INDEX(Policy!$B$13:$B$17,MATCH(G100,Policy!$A$13:$A$17,1))</f>
        <v>Good</v>
      </c>
      <c r="L100" s="13" t="n">
        <f aca="false">INDEX(Policy!$B$5:$B$9,MATCH(D100,Policy!$A$5:$A$9,0))+INDEX(Policy!$C$13:$C$17,MATCH(G100,Policy!$A$13:$A$17,1))</f>
        <v>0.1225</v>
      </c>
      <c r="M100" s="14" t="n">
        <f aca="false">PMT(L100/12,I100*12,-H100)</f>
        <v>12333.5212637664</v>
      </c>
      <c r="N100" s="15" t="n">
        <f aca="false">(M100+J100)/F100</f>
        <v>0.148596641732125</v>
      </c>
      <c r="O100" s="14" t="n">
        <f aca="false">MAX(0,ROUND(PV(L100/12,I100*12,-(INDEX(Policy!$D$5:$D$9,MATCH(D100,Policy!$A$5:$A$9,0))*F100-J100)),-4))</f>
        <v>1120000</v>
      </c>
      <c r="P100" s="9" t="str">
        <f aca="false">IF(G100&lt;INDEX(Policy!$E$5:$E$9,MATCH(D100,Policy!$A$5:$A$9,0)),"Reject - Low Score",IF(E100+I100&gt;Policy!$B$20,"Reject - Age",IF(I100&gt;INDEX(Policy!$C$5:$C$9,MATCH(D100,Policy!$A$5:$A$9,0)),"Reject - Tenure",IF(N100&lt;=INDEX(Policy!$D$5:$D$9,MATCH(D100,Policy!$A$5:$A$9,0)),"Approve",IF(N100&lt;=INDEX(Policy!$D$5:$D$9,MATCH(D100,Policy!$A$5:$A$9,0))+Policy!$B$21,"Refer to Manager","Reject - High FOIR")))))</f>
        <v>Reject - Low Score</v>
      </c>
    </row>
    <row r="101" customFormat="false" ht="15" hidden="false" customHeight="false" outlineLevel="0" collapsed="false">
      <c r="A101" s="9" t="s">
        <v>240</v>
      </c>
      <c r="B101" s="9" t="s">
        <v>241</v>
      </c>
      <c r="C101" s="9" t="s">
        <v>44</v>
      </c>
      <c r="D101" s="9" t="s">
        <v>33</v>
      </c>
      <c r="E101" s="11" t="n">
        <v>41</v>
      </c>
      <c r="F101" s="12" t="n">
        <v>117000</v>
      </c>
      <c r="G101" s="11" t="n">
        <v>746</v>
      </c>
      <c r="H101" s="12" t="n">
        <v>1250000</v>
      </c>
      <c r="I101" s="11" t="n">
        <v>5</v>
      </c>
      <c r="J101" s="12" t="n">
        <v>26000</v>
      </c>
      <c r="K101" s="9" t="str">
        <f aca="false">INDEX(Policy!$B$13:$B$17,MATCH(G101,Policy!$A$13:$A$17,1))</f>
        <v>Good</v>
      </c>
      <c r="L101" s="13" t="n">
        <f aca="false">INDEX(Policy!$B$5:$B$9,MATCH(D101,Policy!$A$5:$A$9,0))+INDEX(Policy!$C$13:$C$17,MATCH(G101,Policy!$A$13:$A$17,1))</f>
        <v>0.1275</v>
      </c>
      <c r="M101" s="14" t="n">
        <f aca="false">PMT(L101/12,I101*12,-H101)</f>
        <v>28281.6255985057</v>
      </c>
      <c r="N101" s="15" t="n">
        <f aca="false">(M101+J101)/F101</f>
        <v>0.463945517935946</v>
      </c>
      <c r="O101" s="14" t="n">
        <f aca="false">MAX(0,ROUND(PV(L101/12,I101*12,-(INDEX(Policy!$D$5:$D$9,MATCH(D101,Policy!$A$5:$A$9,0))*F101-J101)),-4))</f>
        <v>1440000</v>
      </c>
      <c r="P101" s="9" t="str">
        <f aca="false">IF(G101&lt;INDEX(Policy!$E$5:$E$9,MATCH(D101,Policy!$A$5:$A$9,0)),"Reject - Low Score",IF(E101+I101&gt;Policy!$B$20,"Reject - Age",IF(I101&gt;INDEX(Policy!$C$5:$C$9,MATCH(D101,Policy!$A$5:$A$9,0)),"Reject - Tenure",IF(N101&lt;=INDEX(Policy!$D$5:$D$9,MATCH(D101,Policy!$A$5:$A$9,0)),"Approve",IF(N101&lt;=INDEX(Policy!$D$5:$D$9,MATCH(D101,Policy!$A$5:$A$9,0))+Policy!$B$21,"Refer to Manager","Reject - High FOIR")))))</f>
        <v>Approve</v>
      </c>
    </row>
    <row r="102" customFormat="false" ht="15" hidden="false" customHeight="false" outlineLevel="0" collapsed="false">
      <c r="A102" s="9" t="s">
        <v>242</v>
      </c>
      <c r="B102" s="9" t="s">
        <v>243</v>
      </c>
      <c r="C102" s="9" t="s">
        <v>54</v>
      </c>
      <c r="D102" s="9" t="s">
        <v>41</v>
      </c>
      <c r="E102" s="11" t="n">
        <v>29</v>
      </c>
      <c r="F102" s="12" t="n">
        <v>77000</v>
      </c>
      <c r="G102" s="11" t="n">
        <v>759</v>
      </c>
      <c r="H102" s="12" t="n">
        <v>160000</v>
      </c>
      <c r="I102" s="11" t="n">
        <v>2</v>
      </c>
      <c r="J102" s="12" t="n">
        <v>7500</v>
      </c>
      <c r="K102" s="9" t="str">
        <f aca="false">INDEX(Policy!$B$13:$B$17,MATCH(G102,Policy!$A$13:$A$17,1))</f>
        <v>Very Good</v>
      </c>
      <c r="L102" s="13" t="n">
        <f aca="false">INDEX(Policy!$B$5:$B$9,MATCH(D102,Policy!$A$5:$A$9,0))+INDEX(Policy!$C$13:$C$17,MATCH(G102,Policy!$A$13:$A$17,1))</f>
        <v>0.1175</v>
      </c>
      <c r="M102" s="14" t="n">
        <f aca="false">PMT(L102/12,I102*12,-H102)</f>
        <v>7513.08941260904</v>
      </c>
      <c r="N102" s="15" t="n">
        <f aca="false">(M102+J102)/F102</f>
        <v>0.194975187176741</v>
      </c>
      <c r="O102" s="14" t="n">
        <f aca="false">MAX(0,ROUND(PV(L102/12,I102*12,-(INDEX(Policy!$D$5:$D$9,MATCH(D102,Policy!$A$5:$A$9,0))*F102-J102)),-4))</f>
        <v>580000</v>
      </c>
      <c r="P102" s="9" t="str">
        <f aca="false">IF(G102&lt;INDEX(Policy!$E$5:$E$9,MATCH(D102,Policy!$A$5:$A$9,0)),"Reject - Low Score",IF(E102+I102&gt;Policy!$B$20,"Reject - Age",IF(I102&gt;INDEX(Policy!$C$5:$C$9,MATCH(D102,Policy!$A$5:$A$9,0)),"Reject - Tenure",IF(N102&lt;=INDEX(Policy!$D$5:$D$9,MATCH(D102,Policy!$A$5:$A$9,0)),"Approve",IF(N102&lt;=INDEX(Policy!$D$5:$D$9,MATCH(D102,Policy!$A$5:$A$9,0))+Policy!$B$21,"Refer to Manager","Reject - High FOIR")))))</f>
        <v>Approve</v>
      </c>
    </row>
    <row r="103" customFormat="false" ht="15" hidden="false" customHeight="false" outlineLevel="0" collapsed="false">
      <c r="A103" s="9" t="s">
        <v>244</v>
      </c>
      <c r="B103" s="9" t="s">
        <v>245</v>
      </c>
      <c r="C103" s="9" t="s">
        <v>71</v>
      </c>
      <c r="D103" s="9" t="s">
        <v>41</v>
      </c>
      <c r="E103" s="11" t="n">
        <v>44</v>
      </c>
      <c r="F103" s="12" t="n">
        <v>90000</v>
      </c>
      <c r="G103" s="11" t="n">
        <v>742</v>
      </c>
      <c r="H103" s="12" t="n">
        <v>300000</v>
      </c>
      <c r="I103" s="11" t="n">
        <v>4</v>
      </c>
      <c r="J103" s="12" t="n">
        <v>20000</v>
      </c>
      <c r="K103" s="9" t="str">
        <f aca="false">INDEX(Policy!$B$13:$B$17,MATCH(G103,Policy!$A$13:$A$17,1))</f>
        <v>Good</v>
      </c>
      <c r="L103" s="13" t="n">
        <f aca="false">INDEX(Policy!$B$5:$B$9,MATCH(D103,Policy!$A$5:$A$9,0))+INDEX(Policy!$C$13:$C$17,MATCH(G103,Policy!$A$13:$A$17,1))</f>
        <v>0.1225</v>
      </c>
      <c r="M103" s="14" t="n">
        <f aca="false">PMT(L103/12,I103*12,-H103)</f>
        <v>7937.02507647571</v>
      </c>
      <c r="N103" s="15" t="n">
        <f aca="false">(M103+J103)/F103</f>
        <v>0.310411389738619</v>
      </c>
      <c r="O103" s="14" t="n">
        <f aca="false">MAX(0,ROUND(PV(L103/12,I103*12,-(INDEX(Policy!$D$5:$D$9,MATCH(D103,Policy!$A$5:$A$9,0))*F103-J103)),-4))</f>
        <v>770000</v>
      </c>
      <c r="P103" s="9" t="str">
        <f aca="false">IF(G103&lt;INDEX(Policy!$E$5:$E$9,MATCH(D103,Policy!$A$5:$A$9,0)),"Reject - Low Score",IF(E103+I103&gt;Policy!$B$20,"Reject - Age",IF(I103&gt;INDEX(Policy!$C$5:$C$9,MATCH(D103,Policy!$A$5:$A$9,0)),"Reject - Tenure",IF(N103&lt;=INDEX(Policy!$D$5:$D$9,MATCH(D103,Policy!$A$5:$A$9,0)),"Approve",IF(N103&lt;=INDEX(Policy!$D$5:$D$9,MATCH(D103,Policy!$A$5:$A$9,0))+Policy!$B$21,"Refer to Manager","Reject - High FOIR")))))</f>
        <v>Approve</v>
      </c>
    </row>
    <row r="104" customFormat="false" ht="15" hidden="false" customHeight="false" outlineLevel="0" collapsed="false">
      <c r="A104" s="9" t="s">
        <v>246</v>
      </c>
      <c r="B104" s="9" t="s">
        <v>247</v>
      </c>
      <c r="C104" s="9" t="s">
        <v>29</v>
      </c>
      <c r="D104" s="9" t="s">
        <v>30</v>
      </c>
      <c r="E104" s="11" t="n">
        <v>47</v>
      </c>
      <c r="F104" s="12" t="n">
        <v>61000</v>
      </c>
      <c r="G104" s="11" t="n">
        <v>757</v>
      </c>
      <c r="H104" s="12" t="n">
        <v>610000</v>
      </c>
      <c r="I104" s="11" t="n">
        <v>5</v>
      </c>
      <c r="J104" s="12" t="n">
        <v>16500</v>
      </c>
      <c r="K104" s="9" t="str">
        <f aca="false">INDEX(Policy!$B$13:$B$17,MATCH(G104,Policy!$A$13:$A$17,1))</f>
        <v>Very Good</v>
      </c>
      <c r="L104" s="13" t="n">
        <f aca="false">INDEX(Policy!$B$5:$B$9,MATCH(D104,Policy!$A$5:$A$9,0))+INDEX(Policy!$C$13:$C$17,MATCH(G104,Policy!$A$13:$A$17,1))</f>
        <v>0.095</v>
      </c>
      <c r="M104" s="14" t="n">
        <f aca="false">PMT(L104/12,I104*12,-H104)</f>
        <v>12811.1353989265</v>
      </c>
      <c r="N104" s="15" t="n">
        <f aca="false">(M104+J104)/F104</f>
        <v>0.480510416375844</v>
      </c>
      <c r="O104" s="14" t="n">
        <f aca="false">MAX(0,ROUND(PV(L104/12,I104*12,-(INDEX(Policy!$D$5:$D$9,MATCH(D104,Policy!$A$5:$A$9,0))*F104-J104)),-4))</f>
        <v>670000</v>
      </c>
      <c r="P104" s="9" t="str">
        <f aca="false">IF(G104&lt;INDEX(Policy!$E$5:$E$9,MATCH(D104,Policy!$A$5:$A$9,0)),"Reject - Low Score",IF(E104+I104&gt;Policy!$B$20,"Reject - Age",IF(I104&gt;INDEX(Policy!$C$5:$C$9,MATCH(D104,Policy!$A$5:$A$9,0)),"Reject - Tenure",IF(N104&lt;=INDEX(Policy!$D$5:$D$9,MATCH(D104,Policy!$A$5:$A$9,0)),"Approve",IF(N104&lt;=INDEX(Policy!$D$5:$D$9,MATCH(D104,Policy!$A$5:$A$9,0))+Policy!$B$21,"Refer to Manager","Reject - High FOIR")))))</f>
        <v>Approve</v>
      </c>
    </row>
    <row r="105" customFormat="false" ht="15" hidden="false" customHeight="false" outlineLevel="0" collapsed="false">
      <c r="A105" s="9" t="s">
        <v>248</v>
      </c>
      <c r="B105" s="9" t="s">
        <v>249</v>
      </c>
      <c r="C105" s="9" t="s">
        <v>29</v>
      </c>
      <c r="D105" s="9" t="s">
        <v>37</v>
      </c>
      <c r="E105" s="11" t="n">
        <v>32</v>
      </c>
      <c r="F105" s="12" t="n">
        <v>87000</v>
      </c>
      <c r="G105" s="11" t="n">
        <v>667</v>
      </c>
      <c r="H105" s="12" t="n">
        <v>3520000</v>
      </c>
      <c r="I105" s="11" t="n">
        <v>30</v>
      </c>
      <c r="J105" s="12" t="n">
        <v>0</v>
      </c>
      <c r="K105" s="9" t="str">
        <f aca="false">INDEX(Policy!$B$13:$B$17,MATCH(G105,Policy!$A$13:$A$17,1))</f>
        <v>Fair</v>
      </c>
      <c r="L105" s="13" t="n">
        <f aca="false">INDEX(Policy!$B$5:$B$9,MATCH(D105,Policy!$A$5:$A$9,0))+INDEX(Policy!$C$13:$C$17,MATCH(G105,Policy!$A$13:$A$17,1))</f>
        <v>0.1025</v>
      </c>
      <c r="M105" s="14" t="n">
        <f aca="false">PMT(L105/12,I105*12,-H105)</f>
        <v>31542.765623999</v>
      </c>
      <c r="N105" s="15" t="n">
        <f aca="false">(M105+J105)/F105</f>
        <v>0.362560524413781</v>
      </c>
      <c r="O105" s="14" t="n">
        <f aca="false">MAX(0,ROUND(PV(L105/12,I105*12,-(INDEX(Policy!$D$5:$D$9,MATCH(D105,Policy!$A$5:$A$9,0))*F105-J105)),-4))</f>
        <v>4850000</v>
      </c>
      <c r="P105" s="9" t="str">
        <f aca="false">IF(G105&lt;INDEX(Policy!$E$5:$E$9,MATCH(D105,Policy!$A$5:$A$9,0)),"Reject - Low Score",IF(E105+I105&gt;Policy!$B$20,"Reject - Age",IF(I105&gt;INDEX(Policy!$C$5:$C$9,MATCH(D105,Policy!$A$5:$A$9,0)),"Reject - Tenure",IF(N105&lt;=INDEX(Policy!$D$5:$D$9,MATCH(D105,Policy!$A$5:$A$9,0)),"Approve",IF(N105&lt;=INDEX(Policy!$D$5:$D$9,MATCH(D105,Policy!$A$5:$A$9,0))+Policy!$B$21,"Refer to Manager","Reject - High FOIR")))))</f>
        <v>Reject - Low Score</v>
      </c>
    </row>
    <row r="106" customFormat="false" ht="15" hidden="false" customHeight="false" outlineLevel="0" collapsed="false">
      <c r="A106" s="9" t="s">
        <v>250</v>
      </c>
      <c r="B106" s="9" t="s">
        <v>251</v>
      </c>
      <c r="C106" s="9" t="s">
        <v>40</v>
      </c>
      <c r="D106" s="9" t="s">
        <v>41</v>
      </c>
      <c r="E106" s="11" t="n">
        <v>31</v>
      </c>
      <c r="F106" s="12" t="n">
        <v>141000</v>
      </c>
      <c r="G106" s="11" t="n">
        <v>757</v>
      </c>
      <c r="H106" s="12" t="n">
        <v>870000</v>
      </c>
      <c r="I106" s="11" t="n">
        <v>3</v>
      </c>
      <c r="J106" s="12" t="n">
        <v>13500</v>
      </c>
      <c r="K106" s="9" t="str">
        <f aca="false">INDEX(Policy!$B$13:$B$17,MATCH(G106,Policy!$A$13:$A$17,1))</f>
        <v>Very Good</v>
      </c>
      <c r="L106" s="13" t="n">
        <f aca="false">INDEX(Policy!$B$5:$B$9,MATCH(D106,Policy!$A$5:$A$9,0))+INDEX(Policy!$C$13:$C$17,MATCH(G106,Policy!$A$13:$A$17,1))</f>
        <v>0.1175</v>
      </c>
      <c r="M106" s="14" t="n">
        <f aca="false">PMT(L106/12,I106*12,-H106)</f>
        <v>28792.6773779226</v>
      </c>
      <c r="N106" s="15" t="n">
        <f aca="false">(M106+J106)/F106</f>
        <v>0.29994806651009</v>
      </c>
      <c r="O106" s="14" t="n">
        <f aca="false">MAX(0,ROUND(PV(L106/12,I106*12,-(INDEX(Policy!$D$5:$D$9,MATCH(D106,Policy!$A$5:$A$9,0))*F106-J106)),-4))</f>
        <v>1510000</v>
      </c>
      <c r="P106" s="9" t="str">
        <f aca="false">IF(G106&lt;INDEX(Policy!$E$5:$E$9,MATCH(D106,Policy!$A$5:$A$9,0)),"Reject - Low Score",IF(E106+I106&gt;Policy!$B$20,"Reject - Age",IF(I106&gt;INDEX(Policy!$C$5:$C$9,MATCH(D106,Policy!$A$5:$A$9,0)),"Reject - Tenure",IF(N106&lt;=INDEX(Policy!$D$5:$D$9,MATCH(D106,Policy!$A$5:$A$9,0)),"Approve",IF(N106&lt;=INDEX(Policy!$D$5:$D$9,MATCH(D106,Policy!$A$5:$A$9,0))+Policy!$B$21,"Refer to Manager","Reject - High FOIR")))))</f>
        <v>Approve</v>
      </c>
    </row>
    <row r="107" customFormat="false" ht="15" hidden="false" customHeight="false" outlineLevel="0" collapsed="false">
      <c r="A107" s="9" t="s">
        <v>252</v>
      </c>
      <c r="B107" s="9" t="s">
        <v>253</v>
      </c>
      <c r="C107" s="9" t="s">
        <v>54</v>
      </c>
      <c r="D107" s="9" t="s">
        <v>37</v>
      </c>
      <c r="E107" s="11" t="n">
        <v>46</v>
      </c>
      <c r="F107" s="12" t="n">
        <v>57000</v>
      </c>
      <c r="G107" s="11" t="n">
        <v>729</v>
      </c>
      <c r="H107" s="12" t="n">
        <v>1570000</v>
      </c>
      <c r="I107" s="11" t="n">
        <v>30</v>
      </c>
      <c r="J107" s="12" t="n">
        <v>0</v>
      </c>
      <c r="K107" s="9" t="str">
        <f aca="false">INDEX(Policy!$B$13:$B$17,MATCH(G107,Policy!$A$13:$A$17,1))</f>
        <v>Good</v>
      </c>
      <c r="L107" s="13" t="n">
        <f aca="false">INDEX(Policy!$B$5:$B$9,MATCH(D107,Policy!$A$5:$A$9,0))+INDEX(Policy!$C$13:$C$17,MATCH(G107,Policy!$A$13:$A$17,1))</f>
        <v>0.095</v>
      </c>
      <c r="M107" s="14" t="n">
        <f aca="false">PMT(L107/12,I107*12,-H107)</f>
        <v>13201.4110527063</v>
      </c>
      <c r="N107" s="15" t="n">
        <f aca="false">(M107+J107)/F107</f>
        <v>0.231603702679059</v>
      </c>
      <c r="O107" s="14" t="n">
        <f aca="false">MAX(0,ROUND(PV(L107/12,I107*12,-(INDEX(Policy!$D$5:$D$9,MATCH(D107,Policy!$A$5:$A$9,0))*F107-J107)),-4))</f>
        <v>3390000</v>
      </c>
      <c r="P107" s="9" t="str">
        <f aca="false">IF(G107&lt;INDEX(Policy!$E$5:$E$9,MATCH(D107,Policy!$A$5:$A$9,0)),"Reject - Low Score",IF(E107+I107&gt;Policy!$B$20,"Reject - Age",IF(I107&gt;INDEX(Policy!$C$5:$C$9,MATCH(D107,Policy!$A$5:$A$9,0)),"Reject - Tenure",IF(N107&lt;=INDEX(Policy!$D$5:$D$9,MATCH(D107,Policy!$A$5:$A$9,0)),"Approve",IF(N107&lt;=INDEX(Policy!$D$5:$D$9,MATCH(D107,Policy!$A$5:$A$9,0))+Policy!$B$21,"Refer to Manager","Reject - High FOIR")))))</f>
        <v>Reject - Age</v>
      </c>
    </row>
    <row r="108" customFormat="false" ht="15" hidden="false" customHeight="false" outlineLevel="0" collapsed="false">
      <c r="A108" s="9" t="s">
        <v>254</v>
      </c>
      <c r="B108" s="9" t="s">
        <v>255</v>
      </c>
      <c r="C108" s="9" t="s">
        <v>36</v>
      </c>
      <c r="D108" s="9" t="s">
        <v>30</v>
      </c>
      <c r="E108" s="11" t="n">
        <v>49</v>
      </c>
      <c r="F108" s="12" t="n">
        <v>77000</v>
      </c>
      <c r="G108" s="11" t="n">
        <v>775</v>
      </c>
      <c r="H108" s="12" t="n">
        <v>290000</v>
      </c>
      <c r="I108" s="11" t="n">
        <v>4</v>
      </c>
      <c r="J108" s="12" t="n">
        <v>0</v>
      </c>
      <c r="K108" s="9" t="str">
        <f aca="false">INDEX(Policy!$B$13:$B$17,MATCH(G108,Policy!$A$13:$A$17,1))</f>
        <v>Very Good</v>
      </c>
      <c r="L108" s="13" t="n">
        <f aca="false">INDEX(Policy!$B$5:$B$9,MATCH(D108,Policy!$A$5:$A$9,0))+INDEX(Policy!$C$13:$C$17,MATCH(G108,Policy!$A$13:$A$17,1))</f>
        <v>0.095</v>
      </c>
      <c r="M108" s="14" t="n">
        <f aca="false">PMT(L108/12,I108*12,-H108)</f>
        <v>7285.70963457136</v>
      </c>
      <c r="N108" s="15" t="n">
        <f aca="false">(M108+J108)/F108</f>
        <v>0.0946196056437838</v>
      </c>
      <c r="O108" s="14" t="n">
        <f aca="false">MAX(0,ROUND(PV(L108/12,I108*12,-(INDEX(Policy!$D$5:$D$9,MATCH(D108,Policy!$A$5:$A$9,0))*F108-J108)),-4))</f>
        <v>1530000</v>
      </c>
      <c r="P108" s="9" t="str">
        <f aca="false">IF(G108&lt;INDEX(Policy!$E$5:$E$9,MATCH(D108,Policy!$A$5:$A$9,0)),"Reject - Low Score",IF(E108+I108&gt;Policy!$B$20,"Reject - Age",IF(I108&gt;INDEX(Policy!$C$5:$C$9,MATCH(D108,Policy!$A$5:$A$9,0)),"Reject - Tenure",IF(N108&lt;=INDEX(Policy!$D$5:$D$9,MATCH(D108,Policy!$A$5:$A$9,0)),"Approve",IF(N108&lt;=INDEX(Policy!$D$5:$D$9,MATCH(D108,Policy!$A$5:$A$9,0))+Policy!$B$21,"Refer to Manager","Reject - High FOIR")))))</f>
        <v>Approve</v>
      </c>
    </row>
    <row r="109" customFormat="false" ht="15" hidden="false" customHeight="false" outlineLevel="0" collapsed="false">
      <c r="A109" s="9" t="s">
        <v>256</v>
      </c>
      <c r="B109" s="9" t="s">
        <v>257</v>
      </c>
      <c r="C109" s="9" t="s">
        <v>29</v>
      </c>
      <c r="D109" s="9" t="s">
        <v>41</v>
      </c>
      <c r="E109" s="11" t="n">
        <v>46</v>
      </c>
      <c r="F109" s="12" t="n">
        <v>28000</v>
      </c>
      <c r="G109" s="11" t="n">
        <v>732</v>
      </c>
      <c r="H109" s="12" t="n">
        <v>100000</v>
      </c>
      <c r="I109" s="11" t="n">
        <v>2</v>
      </c>
      <c r="J109" s="12" t="n">
        <v>0</v>
      </c>
      <c r="K109" s="9" t="str">
        <f aca="false">INDEX(Policy!$B$13:$B$17,MATCH(G109,Policy!$A$13:$A$17,1))</f>
        <v>Good</v>
      </c>
      <c r="L109" s="13" t="n">
        <f aca="false">INDEX(Policy!$B$5:$B$9,MATCH(D109,Policy!$A$5:$A$9,0))+INDEX(Policy!$C$13:$C$17,MATCH(G109,Policy!$A$13:$A$17,1))</f>
        <v>0.1225</v>
      </c>
      <c r="M109" s="14" t="n">
        <f aca="false">PMT(L109/12,I109*12,-H109)</f>
        <v>4719.03053898252</v>
      </c>
      <c r="N109" s="15" t="n">
        <f aca="false">(M109+J109)/F109</f>
        <v>0.168536804963661</v>
      </c>
      <c r="O109" s="14" t="n">
        <f aca="false">MAX(0,ROUND(PV(L109/12,I109*12,-(INDEX(Policy!$D$5:$D$9,MATCH(D109,Policy!$A$5:$A$9,0))*F109-J109)),-4))</f>
        <v>270000</v>
      </c>
      <c r="P109" s="9" t="str">
        <f aca="false">IF(G109&lt;INDEX(Policy!$E$5:$E$9,MATCH(D109,Policy!$A$5:$A$9,0)),"Reject - Low Score",IF(E109+I109&gt;Policy!$B$20,"Reject - Age",IF(I109&gt;INDEX(Policy!$C$5:$C$9,MATCH(D109,Policy!$A$5:$A$9,0)),"Reject - Tenure",IF(N109&lt;=INDEX(Policy!$D$5:$D$9,MATCH(D109,Policy!$A$5:$A$9,0)),"Approve",IF(N109&lt;=INDEX(Policy!$D$5:$D$9,MATCH(D109,Policy!$A$5:$A$9,0))+Policy!$B$21,"Refer to Manager","Reject - High FOIR")))))</f>
        <v>Approve</v>
      </c>
    </row>
    <row r="110" customFormat="false" ht="15" hidden="false" customHeight="false" outlineLevel="0" collapsed="false">
      <c r="A110" s="9" t="s">
        <v>258</v>
      </c>
      <c r="B110" s="9" t="s">
        <v>259</v>
      </c>
      <c r="C110" s="9" t="s">
        <v>54</v>
      </c>
      <c r="D110" s="9" t="s">
        <v>41</v>
      </c>
      <c r="E110" s="11" t="n">
        <v>45</v>
      </c>
      <c r="F110" s="12" t="n">
        <v>95000</v>
      </c>
      <c r="G110" s="11" t="n">
        <v>684</v>
      </c>
      <c r="H110" s="12" t="n">
        <v>410000</v>
      </c>
      <c r="I110" s="11" t="n">
        <v>2</v>
      </c>
      <c r="J110" s="12" t="n">
        <v>0</v>
      </c>
      <c r="K110" s="9" t="str">
        <f aca="false">INDEX(Policy!$B$13:$B$17,MATCH(G110,Policy!$A$13:$A$17,1))</f>
        <v>Fair</v>
      </c>
      <c r="L110" s="13" t="n">
        <f aca="false">INDEX(Policy!$B$5:$B$9,MATCH(D110,Policy!$A$5:$A$9,0))+INDEX(Policy!$C$13:$C$17,MATCH(G110,Policy!$A$13:$A$17,1))</f>
        <v>0.13</v>
      </c>
      <c r="M110" s="14" t="n">
        <f aca="false">PMT(L110/12,I110*12,-H110)</f>
        <v>19492.1472612649</v>
      </c>
      <c r="N110" s="15" t="n">
        <f aca="false">(M110+J110)/F110</f>
        <v>0.205180497486999</v>
      </c>
      <c r="O110" s="14" t="n">
        <f aca="false">MAX(0,ROUND(PV(L110/12,I110*12,-(INDEX(Policy!$D$5:$D$9,MATCH(D110,Policy!$A$5:$A$9,0))*F110-J110)),-4))</f>
        <v>900000</v>
      </c>
      <c r="P110" s="9" t="str">
        <f aca="false">IF(G110&lt;INDEX(Policy!$E$5:$E$9,MATCH(D110,Policy!$A$5:$A$9,0)),"Reject - Low Score",IF(E110+I110&gt;Policy!$B$20,"Reject - Age",IF(I110&gt;INDEX(Policy!$C$5:$C$9,MATCH(D110,Policy!$A$5:$A$9,0)),"Reject - Tenure",IF(N110&lt;=INDEX(Policy!$D$5:$D$9,MATCH(D110,Policy!$A$5:$A$9,0)),"Approve",IF(N110&lt;=INDEX(Policy!$D$5:$D$9,MATCH(D110,Policy!$A$5:$A$9,0))+Policy!$B$21,"Refer to Manager","Reject - High FOIR")))))</f>
        <v>Reject - Low Score</v>
      </c>
    </row>
    <row r="111" customFormat="false" ht="15" hidden="false" customHeight="false" outlineLevel="0" collapsed="false">
      <c r="A111" s="9" t="s">
        <v>260</v>
      </c>
      <c r="B111" s="9" t="s">
        <v>261</v>
      </c>
      <c r="C111" s="9" t="s">
        <v>29</v>
      </c>
      <c r="D111" s="9" t="s">
        <v>37</v>
      </c>
      <c r="E111" s="11" t="n">
        <v>49</v>
      </c>
      <c r="F111" s="12" t="n">
        <v>54000</v>
      </c>
      <c r="G111" s="11" t="n">
        <v>808</v>
      </c>
      <c r="H111" s="12" t="n">
        <v>1010000</v>
      </c>
      <c r="I111" s="11" t="n">
        <v>30</v>
      </c>
      <c r="J111" s="12" t="n">
        <v>0</v>
      </c>
      <c r="K111" s="9" t="str">
        <f aca="false">INDEX(Policy!$B$13:$B$17,MATCH(G111,Policy!$A$13:$A$17,1))</f>
        <v>Excellent</v>
      </c>
      <c r="L111" s="13" t="n">
        <f aca="false">INDEX(Policy!$B$5:$B$9,MATCH(D111,Policy!$A$5:$A$9,0))+INDEX(Policy!$C$13:$C$17,MATCH(G111,Policy!$A$13:$A$17,1))</f>
        <v>0.0875</v>
      </c>
      <c r="M111" s="14" t="n">
        <f aca="false">PMT(L111/12,I111*12,-H111)</f>
        <v>7945.67409669505</v>
      </c>
      <c r="N111" s="15" t="n">
        <f aca="false">(M111+J111)/F111</f>
        <v>0.14714211290176</v>
      </c>
      <c r="O111" s="14" t="n">
        <f aca="false">MAX(0,ROUND(PV(L111/12,I111*12,-(INDEX(Policy!$D$5:$D$9,MATCH(D111,Policy!$A$5:$A$9,0))*F111-J111)),-4))</f>
        <v>3430000</v>
      </c>
      <c r="P111" s="9" t="str">
        <f aca="false">IF(G111&lt;INDEX(Policy!$E$5:$E$9,MATCH(D111,Policy!$A$5:$A$9,0)),"Reject - Low Score",IF(E111+I111&gt;Policy!$B$20,"Reject - Age",IF(I111&gt;INDEX(Policy!$C$5:$C$9,MATCH(D111,Policy!$A$5:$A$9,0)),"Reject - Tenure",IF(N111&lt;=INDEX(Policy!$D$5:$D$9,MATCH(D111,Policy!$A$5:$A$9,0)),"Approve",IF(N111&lt;=INDEX(Policy!$D$5:$D$9,MATCH(D111,Policy!$A$5:$A$9,0))+Policy!$B$21,"Refer to Manager","Reject - High FOIR")))))</f>
        <v>Reject - Age</v>
      </c>
    </row>
    <row r="112" customFormat="false" ht="15" hidden="false" customHeight="false" outlineLevel="0" collapsed="false">
      <c r="A112" s="9" t="s">
        <v>262</v>
      </c>
      <c r="B112" s="9" t="s">
        <v>263</v>
      </c>
      <c r="C112" s="9" t="s">
        <v>54</v>
      </c>
      <c r="D112" s="9" t="s">
        <v>30</v>
      </c>
      <c r="E112" s="11" t="n">
        <v>25</v>
      </c>
      <c r="F112" s="12" t="n">
        <v>91000</v>
      </c>
      <c r="G112" s="11" t="n">
        <v>738</v>
      </c>
      <c r="H112" s="12" t="n">
        <v>540000</v>
      </c>
      <c r="I112" s="11" t="n">
        <v>5</v>
      </c>
      <c r="J112" s="12" t="n">
        <v>0</v>
      </c>
      <c r="K112" s="9" t="str">
        <f aca="false">INDEX(Policy!$B$13:$B$17,MATCH(G112,Policy!$A$13:$A$17,1))</f>
        <v>Good</v>
      </c>
      <c r="L112" s="13" t="n">
        <f aca="false">INDEX(Policy!$B$5:$B$9,MATCH(D112,Policy!$A$5:$A$9,0))+INDEX(Policy!$C$13:$C$17,MATCH(G112,Policy!$A$13:$A$17,1))</f>
        <v>0.1</v>
      </c>
      <c r="M112" s="14" t="n">
        <f aca="false">PMT(L112/12,I112*12,-H112)</f>
        <v>11473.4041440849</v>
      </c>
      <c r="N112" s="15" t="n">
        <f aca="false">(M112+J112)/F112</f>
        <v>0.126081364220713</v>
      </c>
      <c r="O112" s="14" t="n">
        <f aca="false">MAX(0,ROUND(PV(L112/12,I112*12,-(INDEX(Policy!$D$5:$D$9,MATCH(D112,Policy!$A$5:$A$9,0))*F112-J112)),-4))</f>
        <v>2140000</v>
      </c>
      <c r="P112" s="9" t="str">
        <f aca="false">IF(G112&lt;INDEX(Policy!$E$5:$E$9,MATCH(D112,Policy!$A$5:$A$9,0)),"Reject - Low Score",IF(E112+I112&gt;Policy!$B$20,"Reject - Age",IF(I112&gt;INDEX(Policy!$C$5:$C$9,MATCH(D112,Policy!$A$5:$A$9,0)),"Reject - Tenure",IF(N112&lt;=INDEX(Policy!$D$5:$D$9,MATCH(D112,Policy!$A$5:$A$9,0)),"Approve",IF(N112&lt;=INDEX(Policy!$D$5:$D$9,MATCH(D112,Policy!$A$5:$A$9,0))+Policy!$B$21,"Refer to Manager","Reject - High FOIR")))))</f>
        <v>Approve</v>
      </c>
    </row>
    <row r="113" customFormat="false" ht="15" hidden="false" customHeight="false" outlineLevel="0" collapsed="false">
      <c r="A113" s="9" t="s">
        <v>264</v>
      </c>
      <c r="B113" s="9" t="s">
        <v>265</v>
      </c>
      <c r="C113" s="9" t="s">
        <v>36</v>
      </c>
      <c r="D113" s="9" t="s">
        <v>41</v>
      </c>
      <c r="E113" s="11" t="n">
        <v>48</v>
      </c>
      <c r="F113" s="12" t="n">
        <v>178000</v>
      </c>
      <c r="G113" s="11" t="n">
        <v>786</v>
      </c>
      <c r="H113" s="12" t="n">
        <v>240000</v>
      </c>
      <c r="I113" s="11" t="n">
        <v>2</v>
      </c>
      <c r="J113" s="12" t="n">
        <v>29500</v>
      </c>
      <c r="K113" s="9" t="str">
        <f aca="false">INDEX(Policy!$B$13:$B$17,MATCH(G113,Policy!$A$13:$A$17,1))</f>
        <v>Very Good</v>
      </c>
      <c r="L113" s="13" t="n">
        <f aca="false">INDEX(Policy!$B$5:$B$9,MATCH(D113,Policy!$A$5:$A$9,0))+INDEX(Policy!$C$13:$C$17,MATCH(G113,Policy!$A$13:$A$17,1))</f>
        <v>0.1175</v>
      </c>
      <c r="M113" s="14" t="n">
        <f aca="false">PMT(L113/12,I113*12,-H113)</f>
        <v>11269.6341189136</v>
      </c>
      <c r="N113" s="15" t="n">
        <f aca="false">(M113+J113)/F113</f>
        <v>0.229042888308503</v>
      </c>
      <c r="O113" s="14" t="n">
        <f aca="false">MAX(0,ROUND(PV(L113/12,I113*12,-(INDEX(Policy!$D$5:$D$9,MATCH(D113,Policy!$A$5:$A$9,0))*F113-J113)),-4))</f>
        <v>1080000</v>
      </c>
      <c r="P113" s="9" t="str">
        <f aca="false">IF(G113&lt;INDEX(Policy!$E$5:$E$9,MATCH(D113,Policy!$A$5:$A$9,0)),"Reject - Low Score",IF(E113+I113&gt;Policy!$B$20,"Reject - Age",IF(I113&gt;INDEX(Policy!$C$5:$C$9,MATCH(D113,Policy!$A$5:$A$9,0)),"Reject - Tenure",IF(N113&lt;=INDEX(Policy!$D$5:$D$9,MATCH(D113,Policy!$A$5:$A$9,0)),"Approve",IF(N113&lt;=INDEX(Policy!$D$5:$D$9,MATCH(D113,Policy!$A$5:$A$9,0))+Policy!$B$21,"Refer to Manager","Reject - High FOIR")))))</f>
        <v>Approve</v>
      </c>
    </row>
    <row r="114" customFormat="false" ht="15" hidden="false" customHeight="false" outlineLevel="0" collapsed="false">
      <c r="A114" s="9" t="s">
        <v>266</v>
      </c>
      <c r="B114" s="9" t="s">
        <v>267</v>
      </c>
      <c r="C114" s="9" t="s">
        <v>59</v>
      </c>
      <c r="D114" s="9" t="s">
        <v>37</v>
      </c>
      <c r="E114" s="11" t="n">
        <v>24</v>
      </c>
      <c r="F114" s="12" t="n">
        <v>107000</v>
      </c>
      <c r="G114" s="11" t="n">
        <v>766</v>
      </c>
      <c r="H114" s="12" t="n">
        <v>1920000</v>
      </c>
      <c r="I114" s="11" t="n">
        <v>20</v>
      </c>
      <c r="J114" s="12" t="n">
        <v>0</v>
      </c>
      <c r="K114" s="9" t="str">
        <f aca="false">INDEX(Policy!$B$13:$B$17,MATCH(G114,Policy!$A$13:$A$17,1))</f>
        <v>Very Good</v>
      </c>
      <c r="L114" s="13" t="n">
        <f aca="false">INDEX(Policy!$B$5:$B$9,MATCH(D114,Policy!$A$5:$A$9,0))+INDEX(Policy!$C$13:$C$17,MATCH(G114,Policy!$A$13:$A$17,1))</f>
        <v>0.09</v>
      </c>
      <c r="M114" s="14" t="n">
        <f aca="false">PMT(L114/12,I114*12,-H114)</f>
        <v>17274.7383523233</v>
      </c>
      <c r="N114" s="15" t="n">
        <f aca="false">(M114+J114)/F114</f>
        <v>0.161446152825452</v>
      </c>
      <c r="O114" s="14" t="n">
        <f aca="false">MAX(0,ROUND(PV(L114/12,I114*12,-(INDEX(Policy!$D$5:$D$9,MATCH(D114,Policy!$A$5:$A$9,0))*F114-J114)),-4))</f>
        <v>5950000</v>
      </c>
      <c r="P114" s="9" t="str">
        <f aca="false">IF(G114&lt;INDEX(Policy!$E$5:$E$9,MATCH(D114,Policy!$A$5:$A$9,0)),"Reject - Low Score",IF(E114+I114&gt;Policy!$B$20,"Reject - Age",IF(I114&gt;INDEX(Policy!$C$5:$C$9,MATCH(D114,Policy!$A$5:$A$9,0)),"Reject - Tenure",IF(N114&lt;=INDEX(Policy!$D$5:$D$9,MATCH(D114,Policy!$A$5:$A$9,0)),"Approve",IF(N114&lt;=INDEX(Policy!$D$5:$D$9,MATCH(D114,Policy!$A$5:$A$9,0))+Policy!$B$21,"Refer to Manager","Reject - High FOIR")))))</f>
        <v>Approve</v>
      </c>
    </row>
    <row r="115" customFormat="false" ht="15" hidden="false" customHeight="false" outlineLevel="0" collapsed="false">
      <c r="A115" s="9" t="s">
        <v>268</v>
      </c>
      <c r="B115" s="9" t="s">
        <v>269</v>
      </c>
      <c r="C115" s="9" t="s">
        <v>59</v>
      </c>
      <c r="D115" s="9" t="s">
        <v>33</v>
      </c>
      <c r="E115" s="11" t="n">
        <v>46</v>
      </c>
      <c r="F115" s="12" t="n">
        <v>77000</v>
      </c>
      <c r="G115" s="11" t="n">
        <v>819</v>
      </c>
      <c r="H115" s="12" t="n">
        <v>680000</v>
      </c>
      <c r="I115" s="11" t="n">
        <v>5</v>
      </c>
      <c r="J115" s="12" t="n">
        <v>0</v>
      </c>
      <c r="K115" s="9" t="str">
        <f aca="false">INDEX(Policy!$B$13:$B$17,MATCH(G115,Policy!$A$13:$A$17,1))</f>
        <v>Excellent</v>
      </c>
      <c r="L115" s="13" t="n">
        <f aca="false">INDEX(Policy!$B$5:$B$9,MATCH(D115,Policy!$A$5:$A$9,0))+INDEX(Policy!$C$13:$C$17,MATCH(G115,Policy!$A$13:$A$17,1))</f>
        <v>0.12</v>
      </c>
      <c r="M115" s="14" t="n">
        <f aca="false">PMT(L115/12,I115*12,-H115)</f>
        <v>15126.2244257332</v>
      </c>
      <c r="N115" s="15" t="n">
        <f aca="false">(M115+J115)/F115</f>
        <v>0.19644447306147</v>
      </c>
      <c r="O115" s="14" t="n">
        <f aca="false">MAX(0,ROUND(PV(L115/12,I115*12,-(INDEX(Policy!$D$5:$D$9,MATCH(D115,Policy!$A$5:$A$9,0))*F115-J115)),-4))</f>
        <v>1730000</v>
      </c>
      <c r="P115" s="9" t="str">
        <f aca="false">IF(G115&lt;INDEX(Policy!$E$5:$E$9,MATCH(D115,Policy!$A$5:$A$9,0)),"Reject - Low Score",IF(E115+I115&gt;Policy!$B$20,"Reject - Age",IF(I115&gt;INDEX(Policy!$C$5:$C$9,MATCH(D115,Policy!$A$5:$A$9,0)),"Reject - Tenure",IF(N115&lt;=INDEX(Policy!$D$5:$D$9,MATCH(D115,Policy!$A$5:$A$9,0)),"Approve",IF(N115&lt;=INDEX(Policy!$D$5:$D$9,MATCH(D115,Policy!$A$5:$A$9,0))+Policy!$B$21,"Refer to Manager","Reject - High FOIR")))))</f>
        <v>Approve</v>
      </c>
    </row>
    <row r="116" customFormat="false" ht="15" hidden="false" customHeight="false" outlineLevel="0" collapsed="false">
      <c r="A116" s="9" t="s">
        <v>270</v>
      </c>
      <c r="B116" s="9" t="s">
        <v>271</v>
      </c>
      <c r="C116" s="9" t="s">
        <v>36</v>
      </c>
      <c r="D116" s="9" t="s">
        <v>30</v>
      </c>
      <c r="E116" s="11" t="n">
        <v>37</v>
      </c>
      <c r="F116" s="12" t="n">
        <v>43000</v>
      </c>
      <c r="G116" s="11" t="n">
        <v>833</v>
      </c>
      <c r="H116" s="12" t="n">
        <v>180000</v>
      </c>
      <c r="I116" s="11" t="n">
        <v>3</v>
      </c>
      <c r="J116" s="12" t="n">
        <v>0</v>
      </c>
      <c r="K116" s="9" t="str">
        <f aca="false">INDEX(Policy!$B$13:$B$17,MATCH(G116,Policy!$A$13:$A$17,1))</f>
        <v>Excellent</v>
      </c>
      <c r="L116" s="13" t="n">
        <f aca="false">INDEX(Policy!$B$5:$B$9,MATCH(D116,Policy!$A$5:$A$9,0))+INDEX(Policy!$C$13:$C$17,MATCH(G116,Policy!$A$13:$A$17,1))</f>
        <v>0.0925</v>
      </c>
      <c r="M116" s="14" t="n">
        <f aca="false">PMT(L116/12,I116*12,-H116)</f>
        <v>5744.91844094894</v>
      </c>
      <c r="N116" s="15" t="n">
        <f aca="false">(M116+J116)/F116</f>
        <v>0.133602754440673</v>
      </c>
      <c r="O116" s="14" t="n">
        <f aca="false">MAX(0,ROUND(PV(L116/12,I116*12,-(INDEX(Policy!$D$5:$D$9,MATCH(D116,Policy!$A$5:$A$9,0))*F116-J116)),-4))</f>
        <v>670000</v>
      </c>
      <c r="P116" s="9" t="str">
        <f aca="false">IF(G116&lt;INDEX(Policy!$E$5:$E$9,MATCH(D116,Policy!$A$5:$A$9,0)),"Reject - Low Score",IF(E116+I116&gt;Policy!$B$20,"Reject - Age",IF(I116&gt;INDEX(Policy!$C$5:$C$9,MATCH(D116,Policy!$A$5:$A$9,0)),"Reject - Tenure",IF(N116&lt;=INDEX(Policy!$D$5:$D$9,MATCH(D116,Policy!$A$5:$A$9,0)),"Approve",IF(N116&lt;=INDEX(Policy!$D$5:$D$9,MATCH(D116,Policy!$A$5:$A$9,0))+Policy!$B$21,"Refer to Manager","Reject - High FOIR")))))</f>
        <v>Approve</v>
      </c>
    </row>
    <row r="117" customFormat="false" ht="15" hidden="false" customHeight="false" outlineLevel="0" collapsed="false">
      <c r="A117" s="9" t="s">
        <v>272</v>
      </c>
      <c r="B117" s="9" t="s">
        <v>273</v>
      </c>
      <c r="C117" s="9" t="s">
        <v>44</v>
      </c>
      <c r="D117" s="9" t="s">
        <v>30</v>
      </c>
      <c r="E117" s="11" t="n">
        <v>38</v>
      </c>
      <c r="F117" s="12" t="n">
        <v>78000</v>
      </c>
      <c r="G117" s="11" t="n">
        <v>698</v>
      </c>
      <c r="H117" s="12" t="n">
        <v>830000</v>
      </c>
      <c r="I117" s="11" t="n">
        <v>4</v>
      </c>
      <c r="J117" s="12" t="n">
        <v>0</v>
      </c>
      <c r="K117" s="9" t="str">
        <f aca="false">INDEX(Policy!$B$13:$B$17,MATCH(G117,Policy!$A$13:$A$17,1))</f>
        <v>Fair</v>
      </c>
      <c r="L117" s="13" t="n">
        <f aca="false">INDEX(Policy!$B$5:$B$9,MATCH(D117,Policy!$A$5:$A$9,0))+INDEX(Policy!$C$13:$C$17,MATCH(G117,Policy!$A$13:$A$17,1))</f>
        <v>0.1075</v>
      </c>
      <c r="M117" s="14" t="n">
        <f aca="false">PMT(L117/12,I117*12,-H117)</f>
        <v>21351.1549363535</v>
      </c>
      <c r="N117" s="15" t="n">
        <f aca="false">(M117+J117)/F117</f>
        <v>0.273732755594275</v>
      </c>
      <c r="O117" s="14" t="n">
        <f aca="false">MAX(0,ROUND(PV(L117/12,I117*12,-(INDEX(Policy!$D$5:$D$9,MATCH(D117,Policy!$A$5:$A$9,0))*F117-J117)),-4))</f>
        <v>1520000</v>
      </c>
      <c r="P117" s="9" t="str">
        <f aca="false">IF(G117&lt;INDEX(Policy!$E$5:$E$9,MATCH(D117,Policy!$A$5:$A$9,0)),"Reject - Low Score",IF(E117+I117&gt;Policy!$B$20,"Reject - Age",IF(I117&gt;INDEX(Policy!$C$5:$C$9,MATCH(D117,Policy!$A$5:$A$9,0)),"Reject - Tenure",IF(N117&lt;=INDEX(Policy!$D$5:$D$9,MATCH(D117,Policy!$A$5:$A$9,0)),"Approve",IF(N117&lt;=INDEX(Policy!$D$5:$D$9,MATCH(D117,Policy!$A$5:$A$9,0))+Policy!$B$21,"Refer to Manager","Reject - High FOIR")))))</f>
        <v>Approve</v>
      </c>
    </row>
    <row r="118" customFormat="false" ht="15" hidden="false" customHeight="false" outlineLevel="0" collapsed="false">
      <c r="A118" s="9" t="s">
        <v>274</v>
      </c>
      <c r="B118" s="9" t="s">
        <v>275</v>
      </c>
      <c r="C118" s="9" t="s">
        <v>44</v>
      </c>
      <c r="D118" s="9" t="s">
        <v>30</v>
      </c>
      <c r="E118" s="11" t="n">
        <v>48</v>
      </c>
      <c r="F118" s="12" t="n">
        <v>61000</v>
      </c>
      <c r="G118" s="11" t="n">
        <v>700</v>
      </c>
      <c r="H118" s="12" t="n">
        <v>580000</v>
      </c>
      <c r="I118" s="11" t="n">
        <v>5</v>
      </c>
      <c r="J118" s="12" t="n">
        <v>10000</v>
      </c>
      <c r="K118" s="9" t="str">
        <f aca="false">INDEX(Policy!$B$13:$B$17,MATCH(G118,Policy!$A$13:$A$17,1))</f>
        <v>Good</v>
      </c>
      <c r="L118" s="13" t="n">
        <f aca="false">INDEX(Policy!$B$5:$B$9,MATCH(D118,Policy!$A$5:$A$9,0))+INDEX(Policy!$C$13:$C$17,MATCH(G118,Policy!$A$13:$A$17,1))</f>
        <v>0.1</v>
      </c>
      <c r="M118" s="14" t="n">
        <f aca="false">PMT(L118/12,I118*12,-H118)</f>
        <v>12323.2859325356</v>
      </c>
      <c r="N118" s="15" t="n">
        <f aca="false">(M118+J118)/F118</f>
        <v>0.365955507090748</v>
      </c>
      <c r="O118" s="14" t="n">
        <f aca="false">MAX(0,ROUND(PV(L118/12,I118*12,-(INDEX(Policy!$D$5:$D$9,MATCH(D118,Policy!$A$5:$A$9,0))*F118-J118)),-4))</f>
        <v>960000</v>
      </c>
      <c r="P118" s="9" t="str">
        <f aca="false">IF(G118&lt;INDEX(Policy!$E$5:$E$9,MATCH(D118,Policy!$A$5:$A$9,0)),"Reject - Low Score",IF(E118+I118&gt;Policy!$B$20,"Reject - Age",IF(I118&gt;INDEX(Policy!$C$5:$C$9,MATCH(D118,Policy!$A$5:$A$9,0)),"Reject - Tenure",IF(N118&lt;=INDEX(Policy!$D$5:$D$9,MATCH(D118,Policy!$A$5:$A$9,0)),"Approve",IF(N118&lt;=INDEX(Policy!$D$5:$D$9,MATCH(D118,Policy!$A$5:$A$9,0))+Policy!$B$21,"Refer to Manager","Reject - High FOIR")))))</f>
        <v>Approve</v>
      </c>
    </row>
    <row r="119" customFormat="false" ht="15" hidden="false" customHeight="false" outlineLevel="0" collapsed="false">
      <c r="A119" s="9" t="s">
        <v>276</v>
      </c>
      <c r="B119" s="9" t="s">
        <v>277</v>
      </c>
      <c r="C119" s="9" t="s">
        <v>40</v>
      </c>
      <c r="D119" s="9" t="s">
        <v>41</v>
      </c>
      <c r="E119" s="11" t="n">
        <v>47</v>
      </c>
      <c r="F119" s="12" t="n">
        <v>30000</v>
      </c>
      <c r="G119" s="11" t="n">
        <v>674</v>
      </c>
      <c r="H119" s="12" t="n">
        <v>160000</v>
      </c>
      <c r="I119" s="11" t="n">
        <v>3</v>
      </c>
      <c r="J119" s="12" t="n">
        <v>0</v>
      </c>
      <c r="K119" s="9" t="str">
        <f aca="false">INDEX(Policy!$B$13:$B$17,MATCH(G119,Policy!$A$13:$A$17,1))</f>
        <v>Fair</v>
      </c>
      <c r="L119" s="13" t="n">
        <f aca="false">INDEX(Policy!$B$5:$B$9,MATCH(D119,Policy!$A$5:$A$9,0))+INDEX(Policy!$C$13:$C$17,MATCH(G119,Policy!$A$13:$A$17,1))</f>
        <v>0.13</v>
      </c>
      <c r="M119" s="14" t="n">
        <f aca="false">PMT(L119/12,I119*12,-H119)</f>
        <v>5391.03232052668</v>
      </c>
      <c r="N119" s="15" t="n">
        <f aca="false">(M119+J119)/F119</f>
        <v>0.179701077350889</v>
      </c>
      <c r="O119" s="14" t="n">
        <f aca="false">MAX(0,ROUND(PV(L119/12,I119*12,-(INDEX(Policy!$D$5:$D$9,MATCH(D119,Policy!$A$5:$A$9,0))*F119-J119)),-4))</f>
        <v>400000</v>
      </c>
      <c r="P119" s="9" t="str">
        <f aca="false">IF(G119&lt;INDEX(Policy!$E$5:$E$9,MATCH(D119,Policy!$A$5:$A$9,0)),"Reject - Low Score",IF(E119+I119&gt;Policy!$B$20,"Reject - Age",IF(I119&gt;INDEX(Policy!$C$5:$C$9,MATCH(D119,Policy!$A$5:$A$9,0)),"Reject - Tenure",IF(N119&lt;=INDEX(Policy!$D$5:$D$9,MATCH(D119,Policy!$A$5:$A$9,0)),"Approve",IF(N119&lt;=INDEX(Policy!$D$5:$D$9,MATCH(D119,Policy!$A$5:$A$9,0))+Policy!$B$21,"Refer to Manager","Reject - High FOIR")))))</f>
        <v>Reject - Low Score</v>
      </c>
    </row>
    <row r="120" customFormat="false" ht="15" hidden="false" customHeight="false" outlineLevel="0" collapsed="false">
      <c r="A120" s="9" t="s">
        <v>278</v>
      </c>
      <c r="B120" s="9" t="s">
        <v>279</v>
      </c>
      <c r="C120" s="9" t="s">
        <v>36</v>
      </c>
      <c r="D120" s="9" t="s">
        <v>30</v>
      </c>
      <c r="E120" s="11" t="n">
        <v>27</v>
      </c>
      <c r="F120" s="12" t="n">
        <v>90000</v>
      </c>
      <c r="G120" s="11" t="n">
        <v>766</v>
      </c>
      <c r="H120" s="12" t="n">
        <v>420000</v>
      </c>
      <c r="I120" s="11" t="n">
        <v>3</v>
      </c>
      <c r="J120" s="12" t="n">
        <v>11000</v>
      </c>
      <c r="K120" s="9" t="str">
        <f aca="false">INDEX(Policy!$B$13:$B$17,MATCH(G120,Policy!$A$13:$A$17,1))</f>
        <v>Very Good</v>
      </c>
      <c r="L120" s="13" t="n">
        <f aca="false">INDEX(Policy!$B$5:$B$9,MATCH(D120,Policy!$A$5:$A$9,0))+INDEX(Policy!$C$13:$C$17,MATCH(G120,Policy!$A$13:$A$17,1))</f>
        <v>0.095</v>
      </c>
      <c r="M120" s="14" t="n">
        <f aca="false">PMT(L120/12,I120*12,-H120)</f>
        <v>13453.8388911283</v>
      </c>
      <c r="N120" s="15" t="n">
        <f aca="false">(M120+J120)/F120</f>
        <v>0.271709321012537</v>
      </c>
      <c r="O120" s="14" t="n">
        <f aca="false">MAX(0,ROUND(PV(L120/12,I120*12,-(INDEX(Policy!$D$5:$D$9,MATCH(D120,Policy!$A$5:$A$9,0))*F120-J120)),-4))</f>
        <v>1060000</v>
      </c>
      <c r="P120" s="9" t="str">
        <f aca="false">IF(G120&lt;INDEX(Policy!$E$5:$E$9,MATCH(D120,Policy!$A$5:$A$9,0)),"Reject - Low Score",IF(E120+I120&gt;Policy!$B$20,"Reject - Age",IF(I120&gt;INDEX(Policy!$C$5:$C$9,MATCH(D120,Policy!$A$5:$A$9,0)),"Reject - Tenure",IF(N120&lt;=INDEX(Policy!$D$5:$D$9,MATCH(D120,Policy!$A$5:$A$9,0)),"Approve",IF(N120&lt;=INDEX(Policy!$D$5:$D$9,MATCH(D120,Policy!$A$5:$A$9,0))+Policy!$B$21,"Refer to Manager","Reject - High FOIR")))))</f>
        <v>Approve</v>
      </c>
    </row>
    <row r="121" customFormat="false" ht="15" hidden="false" customHeight="false" outlineLevel="0" collapsed="false">
      <c r="A121" s="9" t="s">
        <v>280</v>
      </c>
      <c r="B121" s="9" t="s">
        <v>281</v>
      </c>
      <c r="C121" s="9" t="s">
        <v>29</v>
      </c>
      <c r="D121" s="9" t="s">
        <v>37</v>
      </c>
      <c r="E121" s="11" t="n">
        <v>33</v>
      </c>
      <c r="F121" s="12" t="n">
        <v>135000</v>
      </c>
      <c r="G121" s="11" t="n">
        <v>774</v>
      </c>
      <c r="H121" s="12" t="n">
        <v>3180000</v>
      </c>
      <c r="I121" s="11" t="n">
        <v>20</v>
      </c>
      <c r="J121" s="12" t="n">
        <v>0</v>
      </c>
      <c r="K121" s="9" t="str">
        <f aca="false">INDEX(Policy!$B$13:$B$17,MATCH(G121,Policy!$A$13:$A$17,1))</f>
        <v>Very Good</v>
      </c>
      <c r="L121" s="13" t="n">
        <f aca="false">INDEX(Policy!$B$5:$B$9,MATCH(D121,Policy!$A$5:$A$9,0))+INDEX(Policy!$C$13:$C$17,MATCH(G121,Policy!$A$13:$A$17,1))</f>
        <v>0.09</v>
      </c>
      <c r="M121" s="14" t="n">
        <f aca="false">PMT(L121/12,I121*12,-H121)</f>
        <v>28611.2853960355</v>
      </c>
      <c r="N121" s="15" t="n">
        <f aca="false">(M121+J121)/F121</f>
        <v>0.211935447378041</v>
      </c>
      <c r="O121" s="14" t="n">
        <f aca="false">MAX(0,ROUND(PV(L121/12,I121*12,-(INDEX(Policy!$D$5:$D$9,MATCH(D121,Policy!$A$5:$A$9,0))*F121-J121)),-4))</f>
        <v>7500000</v>
      </c>
      <c r="P121" s="9" t="str">
        <f aca="false">IF(G121&lt;INDEX(Policy!$E$5:$E$9,MATCH(D121,Policy!$A$5:$A$9,0)),"Reject - Low Score",IF(E121+I121&gt;Policy!$B$20,"Reject - Age",IF(I121&gt;INDEX(Policy!$C$5:$C$9,MATCH(D121,Policy!$A$5:$A$9,0)),"Reject - Tenure",IF(N121&lt;=INDEX(Policy!$D$5:$D$9,MATCH(D121,Policy!$A$5:$A$9,0)),"Approve",IF(N121&lt;=INDEX(Policy!$D$5:$D$9,MATCH(D121,Policy!$A$5:$A$9,0))+Policy!$B$21,"Refer to Manager","Reject - High FOIR")))))</f>
        <v>Approve</v>
      </c>
    </row>
  </sheetData>
  <autoFilter ref="A1:P121"/>
  <conditionalFormatting sqref="P2:P121">
    <cfRule type="expression" priority="2" aboveAverage="0" equalAverage="0" bottom="0" percent="0" rank="0" text="" dxfId="11">
      <formula>$P2="Approve"</formula>
    </cfRule>
    <cfRule type="expression" priority="3" aboveAverage="0" equalAverage="0" bottom="0" percent="0" rank="0" text="" dxfId="12">
      <formula>$P2="Refer to Manager"</formula>
    </cfRule>
    <cfRule type="expression" priority="4" aboveAverage="0" equalAverage="0" bottom="0" percent="0" rank="0" text="" dxfId="13">
      <formula>LEFT($P2,6)="Reject"</formula>
    </cfRule>
  </conditionalFormatting>
  <conditionalFormatting sqref="N2:N121">
    <cfRule type="cellIs" priority="5" operator="greaterThan" aboveAverage="0" equalAverage="0" bottom="0" percent="0" rank="0" text="" dxfId="14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7"/>
  </cols>
  <sheetData>
    <row r="1" customFormat="false" ht="19.7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A4" s="10" t="s">
        <v>13</v>
      </c>
      <c r="B4" s="10" t="s">
        <v>284</v>
      </c>
      <c r="C4" s="10" t="s">
        <v>285</v>
      </c>
      <c r="D4" s="10" t="s">
        <v>286</v>
      </c>
      <c r="E4" s="10" t="s">
        <v>287</v>
      </c>
    </row>
    <row r="5" customFormat="false" ht="15" hidden="false" customHeight="false" outlineLevel="0" collapsed="false">
      <c r="A5" s="16" t="s">
        <v>37</v>
      </c>
      <c r="B5" s="17" t="n">
        <v>0.0875</v>
      </c>
      <c r="C5" s="18" t="n">
        <v>30</v>
      </c>
      <c r="D5" s="19" t="n">
        <v>0.5</v>
      </c>
      <c r="E5" s="18" t="n">
        <v>700</v>
      </c>
    </row>
    <row r="6" customFormat="false" ht="15" hidden="false" customHeight="false" outlineLevel="0" collapsed="false">
      <c r="A6" s="16" t="s">
        <v>30</v>
      </c>
      <c r="B6" s="17" t="n">
        <v>0.0925</v>
      </c>
      <c r="C6" s="18" t="n">
        <v>7</v>
      </c>
      <c r="D6" s="19" t="n">
        <v>0.5</v>
      </c>
      <c r="E6" s="18" t="n">
        <v>690</v>
      </c>
    </row>
    <row r="7" customFormat="false" ht="15" hidden="false" customHeight="false" outlineLevel="0" collapsed="false">
      <c r="A7" s="16" t="s">
        <v>41</v>
      </c>
      <c r="B7" s="17" t="n">
        <v>0.115</v>
      </c>
      <c r="C7" s="18" t="n">
        <v>5</v>
      </c>
      <c r="D7" s="19" t="n">
        <v>0.45</v>
      </c>
      <c r="E7" s="18" t="n">
        <v>720</v>
      </c>
    </row>
    <row r="8" customFormat="false" ht="15" hidden="false" customHeight="false" outlineLevel="0" collapsed="false">
      <c r="A8" s="16" t="s">
        <v>66</v>
      </c>
      <c r="B8" s="17" t="n">
        <v>0.095</v>
      </c>
      <c r="C8" s="18" t="n">
        <v>15</v>
      </c>
      <c r="D8" s="19" t="n">
        <v>0.55</v>
      </c>
      <c r="E8" s="18" t="n">
        <v>650</v>
      </c>
    </row>
    <row r="9" customFormat="false" ht="15" hidden="false" customHeight="false" outlineLevel="0" collapsed="false">
      <c r="A9" s="16" t="s">
        <v>33</v>
      </c>
      <c r="B9" s="17" t="n">
        <v>0.12</v>
      </c>
      <c r="C9" s="18" t="n">
        <v>7</v>
      </c>
      <c r="D9" s="19" t="n">
        <v>0.5</v>
      </c>
      <c r="E9" s="18" t="n">
        <v>700</v>
      </c>
    </row>
    <row r="12" customFormat="false" ht="15" hidden="false" customHeight="false" outlineLevel="0" collapsed="false">
      <c r="A12" s="10" t="s">
        <v>288</v>
      </c>
      <c r="B12" s="10" t="s">
        <v>20</v>
      </c>
      <c r="C12" s="10" t="s">
        <v>289</v>
      </c>
    </row>
    <row r="13" customFormat="false" ht="15" hidden="false" customHeight="false" outlineLevel="0" collapsed="false">
      <c r="A13" s="18" t="n">
        <v>0</v>
      </c>
      <c r="B13" s="20" t="s">
        <v>290</v>
      </c>
      <c r="C13" s="17" t="n">
        <v>0.025</v>
      </c>
    </row>
    <row r="14" customFormat="false" ht="15" hidden="false" customHeight="false" outlineLevel="0" collapsed="false">
      <c r="A14" s="18" t="n">
        <v>650</v>
      </c>
      <c r="B14" s="20" t="s">
        <v>291</v>
      </c>
      <c r="C14" s="17" t="n">
        <v>0.015</v>
      </c>
    </row>
    <row r="15" customFormat="false" ht="15" hidden="false" customHeight="false" outlineLevel="0" collapsed="false">
      <c r="A15" s="18" t="n">
        <v>700</v>
      </c>
      <c r="B15" s="20" t="s">
        <v>292</v>
      </c>
      <c r="C15" s="17" t="n">
        <v>0.0075</v>
      </c>
    </row>
    <row r="16" customFormat="false" ht="15" hidden="false" customHeight="false" outlineLevel="0" collapsed="false">
      <c r="A16" s="18" t="n">
        <v>750</v>
      </c>
      <c r="B16" s="20" t="s">
        <v>293</v>
      </c>
      <c r="C16" s="17" t="n">
        <v>0.0025</v>
      </c>
    </row>
    <row r="17" customFormat="false" ht="15" hidden="false" customHeight="false" outlineLevel="0" collapsed="false">
      <c r="A17" s="18" t="n">
        <v>800</v>
      </c>
      <c r="B17" s="20" t="s">
        <v>294</v>
      </c>
      <c r="C17" s="17" t="n">
        <v>0</v>
      </c>
    </row>
    <row r="20" customFormat="false" ht="15" hidden="false" customHeight="false" outlineLevel="0" collapsed="false">
      <c r="A20" s="8" t="s">
        <v>295</v>
      </c>
      <c r="B20" s="21" t="n">
        <v>65</v>
      </c>
    </row>
    <row r="21" customFormat="false" ht="15" hidden="false" customHeight="false" outlineLevel="0" collapsed="false">
      <c r="A21" s="8" t="s">
        <v>296</v>
      </c>
      <c r="B21" s="22" t="n">
        <v>0.05</v>
      </c>
    </row>
    <row r="23" customFormat="false" ht="15" hidden="false" customHeight="false" outlineLevel="0" collapsed="false">
      <c r="A23" s="2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5"/>
  </cols>
  <sheetData>
    <row r="1" customFormat="false" ht="19.7" hidden="false" customHeight="false" outlineLevel="0" collapsed="false">
      <c r="A1" s="1" t="s">
        <v>298</v>
      </c>
    </row>
    <row r="2" customFormat="false" ht="15" hidden="false" customHeight="false" outlineLevel="0" collapsed="false">
      <c r="A2" s="2" t="s">
        <v>299</v>
      </c>
    </row>
    <row r="4" customFormat="false" ht="15" hidden="false" customHeight="false" outlineLevel="0" collapsed="false">
      <c r="A4" s="8" t="s">
        <v>300</v>
      </c>
    </row>
    <row r="5" customFormat="false" ht="30" hidden="false" customHeight="true" outlineLevel="0" collapsed="false">
      <c r="A5" s="10" t="s">
        <v>13</v>
      </c>
      <c r="B5" s="10" t="s">
        <v>2</v>
      </c>
      <c r="C5" s="10" t="s">
        <v>3</v>
      </c>
      <c r="D5" s="10" t="s">
        <v>301</v>
      </c>
      <c r="E5" s="10" t="s">
        <v>302</v>
      </c>
      <c r="F5" s="10" t="s">
        <v>303</v>
      </c>
      <c r="G5" s="10" t="s">
        <v>304</v>
      </c>
      <c r="H5" s="10" t="s">
        <v>305</v>
      </c>
      <c r="I5" s="10" t="s">
        <v>6</v>
      </c>
      <c r="J5" s="10" t="s">
        <v>306</v>
      </c>
    </row>
    <row r="6" customFormat="false" ht="15" hidden="false" customHeight="false" outlineLevel="0" collapsed="false">
      <c r="A6" s="23" t="str">
        <f aca="false">Policy!A5</f>
        <v>Home Loan</v>
      </c>
      <c r="B6" s="24" t="n">
        <f aca="false">COUNTIF(Data!$D$2:$D$121,A6)</f>
        <v>38</v>
      </c>
      <c r="C6" s="25" t="n">
        <f aca="false">SUMIF(Data!$D$2:$D$121,A6,Data!$H$2:$H$121)/10000000</f>
        <v>8.739</v>
      </c>
      <c r="D6" s="24" t="n">
        <f aca="false">COUNTIFS(Data!$D$2:$D$121,A6,Data!$P$2:$P$121,"Approve")</f>
        <v>19</v>
      </c>
      <c r="E6" s="24" t="n">
        <f aca="false">COUNTIFS(Data!$D$2:$D$121,A6,Data!$P$2:$P$121,"Refer to Manager")</f>
        <v>4</v>
      </c>
      <c r="F6" s="24" t="n">
        <f aca="false">B6-D6-E6</f>
        <v>15</v>
      </c>
      <c r="G6" s="26" t="n">
        <f aca="false">IF(B6=0,0,D6/B6)</f>
        <v>0.5</v>
      </c>
      <c r="H6" s="27" t="n">
        <f aca="false">IFERROR(AVERAGEIF(Data!$D$2:$D$121,A6,Data!$L$2:$L$121),0)</f>
        <v>0.0930921052631579</v>
      </c>
      <c r="I6" s="26" t="n">
        <f aca="false">IFERROR(AVERAGEIF(Data!$D$2:$D$121,A6,Data!$N$2:$N$121),0)</f>
        <v>0.36062086166154</v>
      </c>
      <c r="J6" s="25" t="n">
        <f aca="false">SUMIFS(Data!$H$2:$H$121,Data!$D$2:$D$121,A6,Data!$P$2:$P$121,"Approve")/10000000</f>
        <v>4.692</v>
      </c>
    </row>
    <row r="7" customFormat="false" ht="15" hidden="false" customHeight="false" outlineLevel="0" collapsed="false">
      <c r="A7" s="23" t="str">
        <f aca="false">Policy!A6</f>
        <v>Auto Loan</v>
      </c>
      <c r="B7" s="24" t="n">
        <f aca="false">COUNTIF(Data!$D$2:$D$121,A7)</f>
        <v>27</v>
      </c>
      <c r="C7" s="25" t="n">
        <f aca="false">SUMIF(Data!$D$2:$D$121,A7,Data!$H$2:$H$121)/10000000</f>
        <v>1.641</v>
      </c>
      <c r="D7" s="24" t="n">
        <f aca="false">COUNTIFS(Data!$D$2:$D$121,A7,Data!$P$2:$P$121,"Approve")</f>
        <v>25</v>
      </c>
      <c r="E7" s="24" t="n">
        <f aca="false">COUNTIFS(Data!$D$2:$D$121,A7,Data!$P$2:$P$121,"Refer to Manager")</f>
        <v>0</v>
      </c>
      <c r="F7" s="24" t="n">
        <f aca="false">B7-D7-E7</f>
        <v>2</v>
      </c>
      <c r="G7" s="26" t="n">
        <f aca="false">IF(B7=0,0,D7/B7)</f>
        <v>0.925925925925926</v>
      </c>
      <c r="H7" s="27" t="n">
        <f aca="false">IFERROR(AVERAGEIF(Data!$D$2:$D$121,A7,Data!$L$2:$L$121),0)</f>
        <v>0.0974074074074074</v>
      </c>
      <c r="I7" s="26" t="n">
        <f aca="false">IFERROR(AVERAGEIF(Data!$D$2:$D$121,A7,Data!$N$2:$N$121),0)</f>
        <v>0.261330855320428</v>
      </c>
      <c r="J7" s="25" t="n">
        <f aca="false">SUMIFS(Data!$H$2:$H$121,Data!$D$2:$D$121,A7,Data!$P$2:$P$121,"Approve")/10000000</f>
        <v>1.477</v>
      </c>
    </row>
    <row r="8" customFormat="false" ht="15" hidden="false" customHeight="false" outlineLevel="0" collapsed="false">
      <c r="A8" s="23" t="str">
        <f aca="false">Policy!A7</f>
        <v>Personal Loan</v>
      </c>
      <c r="B8" s="24" t="n">
        <f aca="false">COUNTIF(Data!$D$2:$D$121,A8)</f>
        <v>27</v>
      </c>
      <c r="C8" s="25" t="n">
        <f aca="false">SUMIF(Data!$D$2:$D$121,A8,Data!$H$2:$H$121)/10000000</f>
        <v>0.816</v>
      </c>
      <c r="D8" s="24" t="n">
        <f aca="false">COUNTIFS(Data!$D$2:$D$121,A8,Data!$P$2:$P$121,"Approve")</f>
        <v>17</v>
      </c>
      <c r="E8" s="24" t="n">
        <f aca="false">COUNTIFS(Data!$D$2:$D$121,A8,Data!$P$2:$P$121,"Refer to Manager")</f>
        <v>0</v>
      </c>
      <c r="F8" s="24" t="n">
        <f aca="false">B8-D8-E8</f>
        <v>10</v>
      </c>
      <c r="G8" s="26" t="n">
        <f aca="false">IF(B8=0,0,D8/B8)</f>
        <v>0.62962962962963</v>
      </c>
      <c r="H8" s="27" t="n">
        <f aca="false">IFERROR(AVERAGEIF(Data!$D$2:$D$121,A8,Data!$L$2:$L$121),0)</f>
        <v>0.121851851851852</v>
      </c>
      <c r="I8" s="26" t="n">
        <f aca="false">IFERROR(AVERAGEIF(Data!$D$2:$D$121,A8,Data!$N$2:$N$121),0)</f>
        <v>0.159004323824275</v>
      </c>
      <c r="J8" s="25" t="n">
        <f aca="false">SUMIFS(Data!$H$2:$H$121,Data!$D$2:$D$121,A8,Data!$P$2:$P$121,"Approve")/10000000</f>
        <v>0.527</v>
      </c>
    </row>
    <row r="9" customFormat="false" ht="15" hidden="false" customHeight="false" outlineLevel="0" collapsed="false">
      <c r="A9" s="23" t="str">
        <f aca="false">Policy!A8</f>
        <v>Education Loan</v>
      </c>
      <c r="B9" s="24" t="n">
        <f aca="false">COUNTIF(Data!$D$2:$D$121,A9)</f>
        <v>13</v>
      </c>
      <c r="C9" s="25" t="n">
        <f aca="false">SUMIF(Data!$D$2:$D$121,A9,Data!$H$2:$H$121)/10000000</f>
        <v>1.523</v>
      </c>
      <c r="D9" s="24" t="n">
        <f aca="false">COUNTIFS(Data!$D$2:$D$121,A9,Data!$P$2:$P$121,"Approve")</f>
        <v>13</v>
      </c>
      <c r="E9" s="24" t="n">
        <f aca="false">COUNTIFS(Data!$D$2:$D$121,A9,Data!$P$2:$P$121,"Refer to Manager")</f>
        <v>0</v>
      </c>
      <c r="F9" s="24" t="n">
        <f aca="false">B9-D9-E9</f>
        <v>0</v>
      </c>
      <c r="G9" s="26" t="n">
        <f aca="false">IF(B9=0,0,D9/B9)</f>
        <v>1</v>
      </c>
      <c r="H9" s="27" t="n">
        <f aca="false">IFERROR(AVERAGEIF(Data!$D$2:$D$121,A9,Data!$L$2:$L$121),0)</f>
        <v>0.102884615384615</v>
      </c>
      <c r="I9" s="26" t="n">
        <f aca="false">IFERROR(AVERAGEIF(Data!$D$2:$D$121,A9,Data!$N$2:$N$121),0)</f>
        <v>0.267171854041042</v>
      </c>
      <c r="J9" s="25" t="n">
        <f aca="false">SUMIFS(Data!$H$2:$H$121,Data!$D$2:$D$121,A9,Data!$P$2:$P$121,"Approve")/10000000</f>
        <v>1.523</v>
      </c>
    </row>
    <row r="10" customFormat="false" ht="15" hidden="false" customHeight="false" outlineLevel="0" collapsed="false">
      <c r="A10" s="23" t="str">
        <f aca="false">Policy!A9</f>
        <v>Business Loan</v>
      </c>
      <c r="B10" s="24" t="n">
        <f aca="false">COUNTIF(Data!$D$2:$D$121,A10)</f>
        <v>15</v>
      </c>
      <c r="C10" s="25" t="n">
        <f aca="false">SUMIF(Data!$D$2:$D$121,A10,Data!$H$2:$H$121)/10000000</f>
        <v>2.072</v>
      </c>
      <c r="D10" s="24" t="n">
        <f aca="false">COUNTIFS(Data!$D$2:$D$121,A10,Data!$P$2:$P$121,"Approve")</f>
        <v>6</v>
      </c>
      <c r="E10" s="24" t="n">
        <f aca="false">COUNTIFS(Data!$D$2:$D$121,A10,Data!$P$2:$P$121,"Refer to Manager")</f>
        <v>1</v>
      </c>
      <c r="F10" s="24" t="n">
        <f aca="false">B10-D10-E10</f>
        <v>8</v>
      </c>
      <c r="G10" s="26" t="n">
        <f aca="false">IF(B10=0,0,D10/B10)</f>
        <v>0.4</v>
      </c>
      <c r="H10" s="27" t="n">
        <f aca="false">IFERROR(AVERAGEIF(Data!$D$2:$D$121,A10,Data!$L$2:$L$121),0)</f>
        <v>0.126666666666667</v>
      </c>
      <c r="I10" s="26" t="n">
        <f aca="false">IFERROR(AVERAGEIF(Data!$D$2:$D$121,A10,Data!$N$2:$N$121),0)</f>
        <v>0.463392692172997</v>
      </c>
      <c r="J10" s="25" t="n">
        <f aca="false">SUMIFS(Data!$H$2:$H$121,Data!$D$2:$D$121,A10,Data!$P$2:$P$121,"Approve")/10000000</f>
        <v>1.125</v>
      </c>
    </row>
    <row r="11" customFormat="false" ht="15" hidden="false" customHeight="false" outlineLevel="0" collapsed="false">
      <c r="A11" s="28" t="s">
        <v>307</v>
      </c>
      <c r="B11" s="29" t="n">
        <f aca="false">SUM(B6:B10)</f>
        <v>120</v>
      </c>
      <c r="C11" s="30" t="n">
        <f aca="false">SUM(C6:C10)</f>
        <v>14.791</v>
      </c>
      <c r="D11" s="29" t="n">
        <f aca="false">SUM(D6:D10)</f>
        <v>80</v>
      </c>
      <c r="E11" s="29" t="n">
        <f aca="false">SUM(E6:E10)</f>
        <v>5</v>
      </c>
      <c r="F11" s="29" t="n">
        <f aca="false">SUM(F6:F10)</f>
        <v>35</v>
      </c>
      <c r="G11" s="31" t="n">
        <f aca="false">IF(B11=0,0,D11/B11)</f>
        <v>0.666666666666667</v>
      </c>
      <c r="H11" s="32" t="n">
        <f aca="false">AVERAGE(Data!$L$2:$L$121)</f>
        <v>0.105791666666667</v>
      </c>
      <c r="I11" s="31" t="n">
        <f aca="false">AVERAGE(Data!$N$2:$N$121)</f>
        <v>0.295639725543116</v>
      </c>
      <c r="J11" s="30" t="n">
        <f aca="false">SUM(J6:J10)</f>
        <v>9.344</v>
      </c>
    </row>
    <row r="14" customFormat="false" ht="15" hidden="false" customHeight="false" outlineLevel="0" collapsed="false">
      <c r="A14" s="8" t="s">
        <v>308</v>
      </c>
    </row>
    <row r="15" customFormat="false" ht="15" hidden="false" customHeight="false" outlineLevel="0" collapsed="false">
      <c r="A15" s="10" t="s">
        <v>25</v>
      </c>
      <c r="B15" s="10" t="s">
        <v>309</v>
      </c>
      <c r="C15" s="10" t="s">
        <v>310</v>
      </c>
    </row>
    <row r="16" customFormat="false" ht="15" hidden="false" customHeight="false" outlineLevel="0" collapsed="false">
      <c r="A16" s="20" t="s">
        <v>311</v>
      </c>
      <c r="B16" s="24" t="n">
        <f aca="false">COUNTIF(Data!$P$2:$P$121,A16)</f>
        <v>80</v>
      </c>
      <c r="C16" s="26" t="n">
        <f aca="false">B16/$B$22</f>
        <v>0.666666666666667</v>
      </c>
    </row>
    <row r="17" customFormat="false" ht="15" hidden="false" customHeight="false" outlineLevel="0" collapsed="false">
      <c r="A17" s="20" t="s">
        <v>312</v>
      </c>
      <c r="B17" s="24" t="n">
        <f aca="false">COUNTIF(Data!$P$2:$P$121,A17)</f>
        <v>5</v>
      </c>
      <c r="C17" s="26" t="n">
        <f aca="false">B17/$B$22</f>
        <v>0.0416666666666667</v>
      </c>
    </row>
    <row r="18" customFormat="false" ht="15" hidden="false" customHeight="false" outlineLevel="0" collapsed="false">
      <c r="A18" s="20" t="s">
        <v>313</v>
      </c>
      <c r="B18" s="24" t="n">
        <f aca="false">COUNTIF(Data!$P$2:$P$121,A18)</f>
        <v>20</v>
      </c>
      <c r="C18" s="26" t="n">
        <f aca="false">B18/$B$22</f>
        <v>0.166666666666667</v>
      </c>
    </row>
    <row r="19" customFormat="false" ht="15" hidden="false" customHeight="false" outlineLevel="0" collapsed="false">
      <c r="A19" s="20" t="s">
        <v>314</v>
      </c>
      <c r="B19" s="24" t="n">
        <f aca="false">COUNTIF(Data!$P$2:$P$121,A19)</f>
        <v>5</v>
      </c>
      <c r="C19" s="26" t="n">
        <f aca="false">B19/$B$22</f>
        <v>0.0416666666666667</v>
      </c>
    </row>
    <row r="20" customFormat="false" ht="15" hidden="false" customHeight="false" outlineLevel="0" collapsed="false">
      <c r="A20" s="20" t="s">
        <v>315</v>
      </c>
      <c r="B20" s="24" t="n">
        <f aca="false">COUNTIF(Data!$P$2:$P$121,A20)</f>
        <v>0</v>
      </c>
      <c r="C20" s="26" t="n">
        <f aca="false">B20/$B$22</f>
        <v>0</v>
      </c>
    </row>
    <row r="21" customFormat="false" ht="15" hidden="false" customHeight="false" outlineLevel="0" collapsed="false">
      <c r="A21" s="20" t="s">
        <v>316</v>
      </c>
      <c r="B21" s="24" t="n">
        <f aca="false">COUNTIF(Data!$P$2:$P$121,A21)</f>
        <v>10</v>
      </c>
      <c r="C21" s="26" t="n">
        <f aca="false">B21/$B$22</f>
        <v>0.0833333333333333</v>
      </c>
    </row>
    <row r="22" customFormat="false" ht="15" hidden="false" customHeight="false" outlineLevel="0" collapsed="false">
      <c r="A22" s="28" t="s">
        <v>307</v>
      </c>
      <c r="B22" s="29" t="n">
        <f aca="false">SUM(B16:B21)</f>
        <v>120</v>
      </c>
      <c r="C22" s="31" t="n">
        <f aca="false">SUM(C16:C21)</f>
        <v>1</v>
      </c>
      <c r="D22" s="2" t="str">
        <f aca="false">IF(B22=COUNTA(Data!$A$2:$A$121),"ties to Data","CHECK - count mismatch")</f>
        <v>ties to Data</v>
      </c>
    </row>
    <row r="25" customFormat="false" ht="15" hidden="false" customHeight="false" outlineLevel="0" collapsed="false">
      <c r="A25" s="8" t="s">
        <v>317</v>
      </c>
    </row>
    <row r="26" customFormat="false" ht="15" hidden="false" customHeight="false" outlineLevel="0" collapsed="false">
      <c r="A26" s="10" t="s">
        <v>20</v>
      </c>
      <c r="B26" s="10" t="s">
        <v>2</v>
      </c>
      <c r="C26" s="10" t="s">
        <v>301</v>
      </c>
      <c r="D26" s="10" t="s">
        <v>304</v>
      </c>
      <c r="E26" s="10" t="s">
        <v>305</v>
      </c>
    </row>
    <row r="27" customFormat="false" ht="15" hidden="false" customHeight="false" outlineLevel="0" collapsed="false">
      <c r="A27" s="23" t="str">
        <f aca="false">Policy!B13</f>
        <v>Poor</v>
      </c>
      <c r="B27" s="24" t="n">
        <f aca="false">COUNTIF(Data!$K$2:$K$121,A27)</f>
        <v>1</v>
      </c>
      <c r="C27" s="24" t="n">
        <f aca="false">COUNTIFS(Data!$K$2:$K$121,A27,Data!$P$2:$P$121,"Approve")</f>
        <v>0</v>
      </c>
      <c r="D27" s="26" t="n">
        <f aca="false">IF(B27=0,0,C27/B27)</f>
        <v>0</v>
      </c>
      <c r="E27" s="27" t="n">
        <f aca="false">IFERROR(AVERAGEIF(Data!$K$2:$K$121,A27,Data!$L$2:$L$121),0)</f>
        <v>0.1125</v>
      </c>
    </row>
    <row r="28" customFormat="false" ht="15" hidden="false" customHeight="false" outlineLevel="0" collapsed="false">
      <c r="A28" s="23" t="str">
        <f aca="false">Policy!B14</f>
        <v>Fair</v>
      </c>
      <c r="B28" s="24" t="n">
        <f aca="false">COUNTIF(Data!$K$2:$K$121,A28)</f>
        <v>19</v>
      </c>
      <c r="C28" s="24" t="n">
        <f aca="false">COUNTIFS(Data!$K$2:$K$121,A28,Data!$P$2:$P$121,"Approve")</f>
        <v>5</v>
      </c>
      <c r="D28" s="26" t="n">
        <f aca="false">IF(B28=0,0,C28/B28)</f>
        <v>0.263157894736842</v>
      </c>
      <c r="E28" s="27" t="n">
        <f aca="false">IFERROR(AVERAGEIF(Data!$K$2:$K$121,A28,Data!$L$2:$L$121),0)</f>
        <v>0.117236842105263</v>
      </c>
    </row>
    <row r="29" customFormat="false" ht="15" hidden="false" customHeight="false" outlineLevel="0" collapsed="false">
      <c r="A29" s="23" t="str">
        <f aca="false">Policy!B15</f>
        <v>Good</v>
      </c>
      <c r="B29" s="24" t="n">
        <f aca="false">COUNTIF(Data!$K$2:$K$121,A29)</f>
        <v>42</v>
      </c>
      <c r="C29" s="24" t="n">
        <f aca="false">COUNTIFS(Data!$K$2:$K$121,A29,Data!$P$2:$P$121,"Approve")</f>
        <v>30</v>
      </c>
      <c r="D29" s="26" t="n">
        <f aca="false">IF(B29=0,0,C29/B29)</f>
        <v>0.714285714285714</v>
      </c>
      <c r="E29" s="27" t="n">
        <f aca="false">IFERROR(AVERAGEIF(Data!$K$2:$K$121,A29,Data!$L$2:$L$121),0)</f>
        <v>0.109285714285714</v>
      </c>
    </row>
    <row r="30" customFormat="false" ht="15" hidden="false" customHeight="false" outlineLevel="0" collapsed="false">
      <c r="A30" s="23" t="str">
        <f aca="false">Policy!B16</f>
        <v>Very Good</v>
      </c>
      <c r="B30" s="24" t="n">
        <f aca="false">COUNTIF(Data!$K$2:$K$121,A30)</f>
        <v>43</v>
      </c>
      <c r="C30" s="24" t="n">
        <f aca="false">COUNTIFS(Data!$K$2:$K$121,A30,Data!$P$2:$P$121,"Approve")</f>
        <v>34</v>
      </c>
      <c r="D30" s="26" t="n">
        <f aca="false">IF(B30=0,0,C30/B30)</f>
        <v>0.790697674418605</v>
      </c>
      <c r="E30" s="27" t="n">
        <f aca="false">IFERROR(AVERAGEIF(Data!$K$2:$K$121,A30,Data!$L$2:$L$121),0)</f>
        <v>0.0999418604651163</v>
      </c>
    </row>
    <row r="31" customFormat="false" ht="15" hidden="false" customHeight="false" outlineLevel="0" collapsed="false">
      <c r="A31" s="23" t="str">
        <f aca="false">Policy!B17</f>
        <v>Excellent</v>
      </c>
      <c r="B31" s="24" t="n">
        <f aca="false">COUNTIF(Data!$K$2:$K$121,A31)</f>
        <v>15</v>
      </c>
      <c r="C31" s="24" t="n">
        <f aca="false">COUNTIFS(Data!$K$2:$K$121,A31,Data!$P$2:$P$121,"Approve")</f>
        <v>11</v>
      </c>
      <c r="D31" s="26" t="n">
        <f aca="false">IF(B31=0,0,C31/B31)</f>
        <v>0.733333333333333</v>
      </c>
      <c r="E31" s="27" t="n">
        <f aca="false">IFERROR(AVERAGEIF(Data!$K$2:$K$121,A31,Data!$L$2:$L$121),0)</f>
        <v>0.0978333333333333</v>
      </c>
    </row>
    <row r="34" customFormat="false" ht="15" hidden="false" customHeight="false" outlineLevel="0" collapsed="false">
      <c r="A34" s="8" t="s">
        <v>318</v>
      </c>
    </row>
    <row r="35" customFormat="false" ht="15" hidden="false" customHeight="false" outlineLevel="0" collapsed="false">
      <c r="A35" s="10" t="s">
        <v>12</v>
      </c>
      <c r="B35" s="10" t="s">
        <v>2</v>
      </c>
      <c r="C35" s="10" t="s">
        <v>3</v>
      </c>
      <c r="D35" s="10" t="s">
        <v>301</v>
      </c>
      <c r="E35" s="10" t="s">
        <v>304</v>
      </c>
    </row>
    <row r="36" customFormat="false" ht="15" hidden="false" customHeight="false" outlineLevel="0" collapsed="false">
      <c r="A36" s="20" t="s">
        <v>29</v>
      </c>
      <c r="B36" s="24" t="n">
        <f aca="false">COUNTIF(Data!$C$2:$C$121,A36)</f>
        <v>23</v>
      </c>
      <c r="C36" s="25" t="n">
        <f aca="false">SUMIF(Data!$C$2:$C$121,A36,Data!$H$2:$H$121)/10000000</f>
        <v>3.327</v>
      </c>
      <c r="D36" s="24" t="n">
        <f aca="false">COUNTIFS(Data!$C$2:$C$121,A36,Data!$P$2:$P$121,"Approve")</f>
        <v>15</v>
      </c>
      <c r="E36" s="26" t="n">
        <f aca="false">IF(B36=0,0,D36/B36)</f>
        <v>0.652173913043478</v>
      </c>
    </row>
    <row r="37" customFormat="false" ht="15" hidden="false" customHeight="false" outlineLevel="0" collapsed="false">
      <c r="A37" s="20" t="s">
        <v>51</v>
      </c>
      <c r="B37" s="24" t="n">
        <f aca="false">COUNTIF(Data!$C$2:$C$121,A37)</f>
        <v>11</v>
      </c>
      <c r="C37" s="25" t="n">
        <f aca="false">SUMIF(Data!$C$2:$C$121,A37,Data!$H$2:$H$121)/10000000</f>
        <v>1.601</v>
      </c>
      <c r="D37" s="24" t="n">
        <f aca="false">COUNTIFS(Data!$C$2:$C$121,A37,Data!$P$2:$P$121,"Approve")</f>
        <v>5</v>
      </c>
      <c r="E37" s="26" t="n">
        <f aca="false">IF(B37=0,0,D37/B37)</f>
        <v>0.454545454545455</v>
      </c>
    </row>
    <row r="38" customFormat="false" ht="15" hidden="false" customHeight="false" outlineLevel="0" collapsed="false">
      <c r="A38" s="20" t="s">
        <v>36</v>
      </c>
      <c r="B38" s="24" t="n">
        <f aca="false">COUNTIF(Data!$C$2:$C$121,A38)</f>
        <v>24</v>
      </c>
      <c r="C38" s="25" t="n">
        <f aca="false">SUMIF(Data!$C$2:$C$121,A38,Data!$H$2:$H$121)/10000000</f>
        <v>2.532</v>
      </c>
      <c r="D38" s="24" t="n">
        <f aca="false">COUNTIFS(Data!$C$2:$C$121,A38,Data!$P$2:$P$121,"Approve")</f>
        <v>17</v>
      </c>
      <c r="E38" s="26" t="n">
        <f aca="false">IF(B38=0,0,D38/B38)</f>
        <v>0.708333333333333</v>
      </c>
    </row>
    <row r="39" customFormat="false" ht="15" hidden="false" customHeight="false" outlineLevel="0" collapsed="false">
      <c r="A39" s="20" t="s">
        <v>59</v>
      </c>
      <c r="B39" s="24" t="n">
        <f aca="false">COUNTIF(Data!$C$2:$C$121,A39)</f>
        <v>13</v>
      </c>
      <c r="C39" s="25" t="n">
        <f aca="false">SUMIF(Data!$C$2:$C$121,A39,Data!$H$2:$H$121)/10000000</f>
        <v>1.337</v>
      </c>
      <c r="D39" s="24" t="n">
        <f aca="false">COUNTIFS(Data!$C$2:$C$121,A39,Data!$P$2:$P$121,"Approve")</f>
        <v>10</v>
      </c>
      <c r="E39" s="26" t="n">
        <f aca="false">IF(B39=0,0,D39/B39)</f>
        <v>0.769230769230769</v>
      </c>
    </row>
    <row r="40" customFormat="false" ht="15" hidden="false" customHeight="false" outlineLevel="0" collapsed="false">
      <c r="A40" s="20" t="s">
        <v>44</v>
      </c>
      <c r="B40" s="24" t="n">
        <f aca="false">COUNTIF(Data!$C$2:$C$121,A40)</f>
        <v>10</v>
      </c>
      <c r="C40" s="25" t="n">
        <f aca="false">SUMIF(Data!$C$2:$C$121,A40,Data!$H$2:$H$121)/10000000</f>
        <v>0.714</v>
      </c>
      <c r="D40" s="24" t="n">
        <f aca="false">COUNTIFS(Data!$C$2:$C$121,A40,Data!$P$2:$P$121,"Approve")</f>
        <v>10</v>
      </c>
      <c r="E40" s="26" t="n">
        <f aca="false">IF(B40=0,0,D40/B40)</f>
        <v>1</v>
      </c>
    </row>
    <row r="41" customFormat="false" ht="15" hidden="false" customHeight="false" outlineLevel="0" collapsed="false">
      <c r="A41" s="20" t="s">
        <v>80</v>
      </c>
      <c r="B41" s="24" t="n">
        <f aca="false">COUNTIF(Data!$C$2:$C$121,A41)</f>
        <v>3</v>
      </c>
      <c r="C41" s="25" t="n">
        <f aca="false">SUMIF(Data!$C$2:$C$121,A41,Data!$H$2:$H$121)/10000000</f>
        <v>0.338</v>
      </c>
      <c r="D41" s="24" t="n">
        <f aca="false">COUNTIFS(Data!$C$2:$C$121,A41,Data!$P$2:$P$121,"Approve")</f>
        <v>1</v>
      </c>
      <c r="E41" s="26" t="n">
        <f aca="false">IF(B41=0,0,D41/B41)</f>
        <v>0.333333333333333</v>
      </c>
    </row>
    <row r="42" customFormat="false" ht="15" hidden="false" customHeight="false" outlineLevel="0" collapsed="false">
      <c r="A42" s="20" t="s">
        <v>115</v>
      </c>
      <c r="B42" s="24" t="n">
        <f aca="false">COUNTIF(Data!$C$2:$C$121,A42)</f>
        <v>5</v>
      </c>
      <c r="C42" s="25" t="n">
        <f aca="false">SUMIF(Data!$C$2:$C$121,A42,Data!$H$2:$H$121)/10000000</f>
        <v>0.428</v>
      </c>
      <c r="D42" s="24" t="n">
        <f aca="false">COUNTIFS(Data!$C$2:$C$121,A42,Data!$P$2:$P$121,"Approve")</f>
        <v>3</v>
      </c>
      <c r="E42" s="26" t="n">
        <f aca="false">IF(B42=0,0,D42/B42)</f>
        <v>0.6</v>
      </c>
    </row>
    <row r="43" customFormat="false" ht="15" hidden="false" customHeight="false" outlineLevel="0" collapsed="false">
      <c r="A43" s="20" t="s">
        <v>71</v>
      </c>
      <c r="B43" s="24" t="n">
        <f aca="false">COUNTIF(Data!$C$2:$C$121,A43)</f>
        <v>9</v>
      </c>
      <c r="C43" s="25" t="n">
        <f aca="false">SUMIF(Data!$C$2:$C$121,A43,Data!$H$2:$H$121)/10000000</f>
        <v>1.642</v>
      </c>
      <c r="D43" s="24" t="n">
        <f aca="false">COUNTIFS(Data!$C$2:$C$121,A43,Data!$P$2:$P$121,"Approve")</f>
        <v>5</v>
      </c>
      <c r="E43" s="26" t="n">
        <f aca="false">IF(B43=0,0,D43/B43)</f>
        <v>0.555555555555556</v>
      </c>
    </row>
    <row r="44" customFormat="false" ht="15" hidden="false" customHeight="false" outlineLevel="0" collapsed="false">
      <c r="A44" s="20" t="s">
        <v>54</v>
      </c>
      <c r="B44" s="24" t="n">
        <f aca="false">COUNTIF(Data!$C$2:$C$121,A44)</f>
        <v>12</v>
      </c>
      <c r="C44" s="25" t="n">
        <f aca="false">SUMIF(Data!$C$2:$C$121,A44,Data!$H$2:$H$121)/10000000</f>
        <v>2.022</v>
      </c>
      <c r="D44" s="24" t="n">
        <f aca="false">COUNTIFS(Data!$C$2:$C$121,A44,Data!$P$2:$P$121,"Approve")</f>
        <v>8</v>
      </c>
      <c r="E44" s="26" t="n">
        <f aca="false">IF(B44=0,0,D44/B44)</f>
        <v>0.666666666666667</v>
      </c>
    </row>
    <row r="45" customFormat="false" ht="15" hidden="false" customHeight="false" outlineLevel="0" collapsed="false">
      <c r="A45" s="20" t="s">
        <v>40</v>
      </c>
      <c r="B45" s="24" t="n">
        <f aca="false">COUNTIF(Data!$C$2:$C$121,A45)</f>
        <v>10</v>
      </c>
      <c r="C45" s="25" t="n">
        <f aca="false">SUMIF(Data!$C$2:$C$121,A45,Data!$H$2:$H$121)/10000000</f>
        <v>0.85</v>
      </c>
      <c r="D45" s="24" t="n">
        <f aca="false">COUNTIFS(Data!$C$2:$C$121,A45,Data!$P$2:$P$121,"Approve")</f>
        <v>6</v>
      </c>
      <c r="E45" s="26" t="n">
        <f aca="false">IF(B45=0,0,D45/B45)</f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7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5"/>
  </cols>
  <sheetData>
    <row r="1" customFormat="false" ht="19.7" hidden="false" customHeight="false" outlineLevel="0" collapsed="false">
      <c r="A1" s="1" t="s">
        <v>319</v>
      </c>
    </row>
    <row r="2" customFormat="false" ht="15" hidden="false" customHeight="false" outlineLevel="0" collapsed="false">
      <c r="A2" s="2" t="s">
        <v>320</v>
      </c>
    </row>
    <row r="4" customFormat="false" ht="15" hidden="false" customHeight="false" outlineLevel="0" collapsed="false">
      <c r="A4" s="8" t="s">
        <v>13</v>
      </c>
      <c r="B4" s="33" t="s">
        <v>37</v>
      </c>
      <c r="D4" s="8" t="s">
        <v>321</v>
      </c>
      <c r="E4" s="27" t="n">
        <f aca="false">INDEX(Policy!$B$5:$B$9,MATCH(B4,Policy!$A$5:$A$9,0))+INDEX(Policy!$C$13:$C$17,MATCH(B7,Policy!$A$13:$A$17,1))</f>
        <v>0.095</v>
      </c>
    </row>
    <row r="5" customFormat="false" ht="15" hidden="false" customHeight="false" outlineLevel="0" collapsed="false">
      <c r="A5" s="8" t="s">
        <v>322</v>
      </c>
      <c r="B5" s="34" t="n">
        <v>5000000</v>
      </c>
      <c r="D5" s="8" t="s">
        <v>323</v>
      </c>
      <c r="E5" s="29" t="n">
        <f aca="false">PMT(E4/12,B6*12,-B5)</f>
        <v>46606.5593916759</v>
      </c>
    </row>
    <row r="6" customFormat="false" ht="15" hidden="false" customHeight="false" outlineLevel="0" collapsed="false">
      <c r="A6" s="8" t="s">
        <v>324</v>
      </c>
      <c r="B6" s="21" t="n">
        <v>20</v>
      </c>
      <c r="D6" s="8" t="s">
        <v>325</v>
      </c>
      <c r="E6" s="24" t="n">
        <f aca="false">E5*B6*12-B5</f>
        <v>6185574.25400222</v>
      </c>
    </row>
    <row r="7" customFormat="false" ht="15" hidden="false" customHeight="false" outlineLevel="0" collapsed="false">
      <c r="A7" s="8" t="s">
        <v>326</v>
      </c>
      <c r="B7" s="21" t="n">
        <v>745</v>
      </c>
      <c r="D7" s="8" t="s">
        <v>327</v>
      </c>
      <c r="E7" s="24" t="n">
        <f aca="false">E5*B6*12</f>
        <v>11185574.2540022</v>
      </c>
    </row>
    <row r="8" customFormat="false" ht="15" hidden="false" customHeight="false" outlineLevel="0" collapsed="false">
      <c r="D8" s="8" t="s">
        <v>328</v>
      </c>
      <c r="E8" s="26" t="n">
        <f aca="false">E6/B5</f>
        <v>1.23711485080044</v>
      </c>
    </row>
    <row r="9" customFormat="false" ht="15" hidden="false" customHeight="false" outlineLevel="0" collapsed="false">
      <c r="D9" s="8" t="s">
        <v>329</v>
      </c>
      <c r="E9" s="20" t="str">
        <f aca="false">IF(B6&lt;=INDEX(Policy!$C$5:$C$9,MATCH(B4,Policy!$A$5:$A$9,0)),"Yes","No - exceeds max tenure")</f>
        <v>Yes</v>
      </c>
    </row>
    <row r="11" customFormat="false" ht="15" hidden="false" customHeight="false" outlineLevel="0" collapsed="false">
      <c r="A11" s="8" t="s">
        <v>330</v>
      </c>
    </row>
    <row r="12" customFormat="false" ht="30" hidden="false" customHeight="true" outlineLevel="0" collapsed="false">
      <c r="A12" s="10" t="s">
        <v>331</v>
      </c>
      <c r="B12" s="10" t="s">
        <v>332</v>
      </c>
      <c r="C12" s="10" t="s">
        <v>333</v>
      </c>
      <c r="D12" s="10" t="s">
        <v>334</v>
      </c>
      <c r="G12" s="10" t="s">
        <v>335</v>
      </c>
      <c r="H12" s="10" t="s">
        <v>331</v>
      </c>
      <c r="I12" s="10" t="s">
        <v>336</v>
      </c>
      <c r="J12" s="10" t="s">
        <v>337</v>
      </c>
      <c r="K12" s="10" t="s">
        <v>338</v>
      </c>
      <c r="L12" s="10" t="s">
        <v>339</v>
      </c>
      <c r="M12" s="10" t="s">
        <v>340</v>
      </c>
      <c r="N12" s="35"/>
    </row>
    <row r="13" customFormat="false" ht="15" hidden="false" customHeight="false" outlineLevel="0" collapsed="false">
      <c r="A13" s="36" t="n">
        <f aca="false">IF(1&lt;=$B$6,1,"")</f>
        <v>1</v>
      </c>
      <c r="B13" s="24" t="n">
        <f aca="false">IF(A13="","",SUMIF($H$13:$H$372,A13,$L$13:$L$372))</f>
        <v>88046.9328941414</v>
      </c>
      <c r="C13" s="24" t="n">
        <f aca="false">IF(A13="","",SUMIF($H$13:$H$372,A13,$K$13:$K$372))</f>
        <v>471231.779805969</v>
      </c>
      <c r="D13" s="24" t="n">
        <f aca="false">IF(A13="","",INDEX($M$13:$M$372,A13*12))</f>
        <v>4911953.06710586</v>
      </c>
      <c r="G13" s="37" t="n">
        <f aca="false">IF(1&lt;=$B$6*12,1,"")</f>
        <v>1</v>
      </c>
      <c r="H13" s="37" t="n">
        <f aca="false">IF(G13="","",ROUNDUP(G13/12,0))</f>
        <v>1</v>
      </c>
      <c r="I13" s="14" t="n">
        <f aca="false">IF(G13="","",$B$5)</f>
        <v>5000000</v>
      </c>
      <c r="J13" s="14" t="n">
        <f aca="false">IF(G13="","",$E$5)</f>
        <v>46606.5593916759</v>
      </c>
      <c r="K13" s="14" t="n">
        <f aca="false">IF(G13="","",I13*$E$4/12)</f>
        <v>39583.3333333333</v>
      </c>
      <c r="L13" s="14" t="n">
        <f aca="false">IF(G13="","",J13-K13)</f>
        <v>7023.22605834257</v>
      </c>
      <c r="M13" s="14" t="n">
        <f aca="false">IF(G13="","",MAX(0,I13-L13))</f>
        <v>4992976.77394166</v>
      </c>
      <c r="N13" s="14"/>
    </row>
    <row r="14" customFormat="false" ht="15" hidden="false" customHeight="false" outlineLevel="0" collapsed="false">
      <c r="A14" s="36" t="n">
        <f aca="false">IF(2&lt;=$B$6,2,"")</f>
        <v>2</v>
      </c>
      <c r="B14" s="24" t="n">
        <f aca="false">IF(A14="","",SUMIF($H$13:$H$372,A14,$L$13:$L$372))</f>
        <v>96785.3782696277</v>
      </c>
      <c r="C14" s="24" t="n">
        <f aca="false">IF(A14="","",SUMIF($H$13:$H$372,A14,$K$13:$K$372))</f>
        <v>462493.334430483</v>
      </c>
      <c r="D14" s="24" t="n">
        <f aca="false">IF(A14="","",INDEX($M$13:$M$372,A14*12))</f>
        <v>4815167.68883623</v>
      </c>
      <c r="G14" s="37" t="n">
        <f aca="false">IF(2&lt;=$B$6*12,2,"")</f>
        <v>2</v>
      </c>
      <c r="H14" s="37" t="n">
        <f aca="false">IF(G14="","",ROUNDUP(G14/12,0))</f>
        <v>1</v>
      </c>
      <c r="I14" s="14" t="n">
        <f aca="false">IF(G14="","",M13)</f>
        <v>4992976.77394166</v>
      </c>
      <c r="J14" s="14" t="n">
        <f aca="false">IF(G14="","",$E$5)</f>
        <v>46606.5593916759</v>
      </c>
      <c r="K14" s="14" t="n">
        <f aca="false">IF(G14="","",I14*$E$4/12)</f>
        <v>39527.7327937048</v>
      </c>
      <c r="L14" s="14" t="n">
        <f aca="false">IF(G14="","",J14-K14)</f>
        <v>7078.82659797111</v>
      </c>
      <c r="M14" s="14" t="n">
        <f aca="false">IF(G14="","",MAX(0,I14-L14))</f>
        <v>4985897.94734369</v>
      </c>
      <c r="N14" s="14"/>
    </row>
    <row r="15" customFormat="false" ht="15" hidden="false" customHeight="false" outlineLevel="0" collapsed="false">
      <c r="A15" s="36" t="n">
        <f aca="false">IF(3&lt;=$B$6,3,"")</f>
        <v>3</v>
      </c>
      <c r="B15" s="24" t="n">
        <f aca="false">IF(A15="","",SUMIF($H$13:$H$372,A15,$L$13:$L$372))</f>
        <v>106391.093237255</v>
      </c>
      <c r="C15" s="24" t="n">
        <f aca="false">IF(A15="","",SUMIF($H$13:$H$372,A15,$K$13:$K$372))</f>
        <v>452887.619462856</v>
      </c>
      <c r="D15" s="24" t="n">
        <f aca="false">IF(A15="","",INDEX($M$13:$M$372,A15*12))</f>
        <v>4708776.59559898</v>
      </c>
      <c r="G15" s="37" t="n">
        <f aca="false">IF(3&lt;=$B$6*12,3,"")</f>
        <v>3</v>
      </c>
      <c r="H15" s="37" t="n">
        <f aca="false">IF(G15="","",ROUNDUP(G15/12,0))</f>
        <v>1</v>
      </c>
      <c r="I15" s="14" t="n">
        <f aca="false">IF(G15="","",M14)</f>
        <v>4985897.94734369</v>
      </c>
      <c r="J15" s="14" t="n">
        <f aca="false">IF(G15="","",$E$5)</f>
        <v>46606.5593916759</v>
      </c>
      <c r="K15" s="14" t="n">
        <f aca="false">IF(G15="","",I15*$E$4/12)</f>
        <v>39471.6920831375</v>
      </c>
      <c r="L15" s="14" t="n">
        <f aca="false">IF(G15="","",J15-K15)</f>
        <v>7134.86730853839</v>
      </c>
      <c r="M15" s="14" t="n">
        <f aca="false">IF(G15="","",MAX(0,I15-L15))</f>
        <v>4978763.08003515</v>
      </c>
      <c r="N15" s="14"/>
    </row>
    <row r="16" customFormat="false" ht="15" hidden="false" customHeight="false" outlineLevel="0" collapsed="false">
      <c r="A16" s="36" t="n">
        <f aca="false">IF(4&lt;=$B$6,4,"")</f>
        <v>4</v>
      </c>
      <c r="B16" s="24" t="n">
        <f aca="false">IF(A16="","",SUMIF($H$13:$H$372,A16,$L$13:$L$372))</f>
        <v>116950.15220879</v>
      </c>
      <c r="C16" s="24" t="n">
        <f aca="false">IF(A16="","",SUMIF($H$13:$H$372,A16,$K$13:$K$372))</f>
        <v>442328.560491321</v>
      </c>
      <c r="D16" s="24" t="n">
        <f aca="false">IF(A16="","",INDEX($M$13:$M$372,A16*12))</f>
        <v>4591826.44339019</v>
      </c>
      <c r="G16" s="37" t="n">
        <f aca="false">IF(4&lt;=$B$6*12,4,"")</f>
        <v>4</v>
      </c>
      <c r="H16" s="37" t="n">
        <f aca="false">IF(G16="","",ROUNDUP(G16/12,0))</f>
        <v>1</v>
      </c>
      <c r="I16" s="14" t="n">
        <f aca="false">IF(G16="","",M15)</f>
        <v>4978763.08003515</v>
      </c>
      <c r="J16" s="14" t="n">
        <f aca="false">IF(G16="","",$E$5)</f>
        <v>46606.5593916759</v>
      </c>
      <c r="K16" s="14" t="n">
        <f aca="false">IF(G16="","",I16*$E$4/12)</f>
        <v>39415.2077169449</v>
      </c>
      <c r="L16" s="14" t="n">
        <f aca="false">IF(G16="","",J16-K16)</f>
        <v>7191.35167473098</v>
      </c>
      <c r="M16" s="14" t="n">
        <f aca="false">IF(G16="","",MAX(0,I16-L16))</f>
        <v>4971571.72836042</v>
      </c>
      <c r="N16" s="14"/>
    </row>
    <row r="17" customFormat="false" ht="15" hidden="false" customHeight="false" outlineLevel="0" collapsed="false">
      <c r="A17" s="36" t="n">
        <f aca="false">IF(5&lt;=$B$6,5,"")</f>
        <v>5</v>
      </c>
      <c r="B17" s="24" t="n">
        <f aca="false">IF(A17="","",SUMIF($H$13:$H$372,A17,$L$13:$L$372))</f>
        <v>128557.172273418</v>
      </c>
      <c r="C17" s="24" t="n">
        <f aca="false">IF(A17="","",SUMIF($H$13:$H$372,A17,$K$13:$K$372))</f>
        <v>430721.540426693</v>
      </c>
      <c r="D17" s="24" t="n">
        <f aca="false">IF(A17="","",INDEX($M$13:$M$372,A17*12))</f>
        <v>4463269.27111677</v>
      </c>
      <c r="G17" s="37" t="n">
        <f aca="false">IF(5&lt;=$B$6*12,5,"")</f>
        <v>5</v>
      </c>
      <c r="H17" s="37" t="n">
        <f aca="false">IF(G17="","",ROUNDUP(G17/12,0))</f>
        <v>1</v>
      </c>
      <c r="I17" s="14" t="n">
        <f aca="false">IF(G17="","",M16)</f>
        <v>4971571.72836042</v>
      </c>
      <c r="J17" s="14" t="n">
        <f aca="false">IF(G17="","",$E$5)</f>
        <v>46606.5593916759</v>
      </c>
      <c r="K17" s="14" t="n">
        <f aca="false">IF(G17="","",I17*$E$4/12)</f>
        <v>39358.2761828533</v>
      </c>
      <c r="L17" s="14" t="n">
        <f aca="false">IF(G17="","",J17-K17)</f>
        <v>7248.2832088226</v>
      </c>
      <c r="M17" s="14" t="n">
        <f aca="false">IF(G17="","",MAX(0,I17-L17))</f>
        <v>4964323.44515159</v>
      </c>
      <c r="N17" s="14"/>
    </row>
    <row r="18" customFormat="false" ht="15" hidden="false" customHeight="false" outlineLevel="0" collapsed="false">
      <c r="A18" s="36" t="n">
        <f aca="false">IF(6&lt;=$B$6,6,"")</f>
        <v>6</v>
      </c>
      <c r="B18" s="24" t="n">
        <f aca="false">IF(A18="","",SUMIF($H$13:$H$372,A18,$L$13:$L$372))</f>
        <v>141316.161037841</v>
      </c>
      <c r="C18" s="24" t="n">
        <f aca="false">IF(A18="","",SUMIF($H$13:$H$372,A18,$K$13:$K$372))</f>
        <v>417962.55166227</v>
      </c>
      <c r="D18" s="24" t="n">
        <f aca="false">IF(A18="","",INDEX($M$13:$M$372,A18*12))</f>
        <v>4321953.11007893</v>
      </c>
      <c r="G18" s="37" t="n">
        <f aca="false">IF(6&lt;=$B$6*12,6,"")</f>
        <v>6</v>
      </c>
      <c r="H18" s="37" t="n">
        <f aca="false">IF(G18="","",ROUNDUP(G18/12,0))</f>
        <v>1</v>
      </c>
      <c r="I18" s="14" t="n">
        <f aca="false">IF(G18="","",M17)</f>
        <v>4964323.44515159</v>
      </c>
      <c r="J18" s="14" t="n">
        <f aca="false">IF(G18="","",$E$5)</f>
        <v>46606.5593916759</v>
      </c>
      <c r="K18" s="14" t="n">
        <f aca="false">IF(G18="","",I18*$E$4/12)</f>
        <v>39300.8939407835</v>
      </c>
      <c r="L18" s="14" t="n">
        <f aca="false">IF(G18="","",J18-K18)</f>
        <v>7305.66545089245</v>
      </c>
      <c r="M18" s="14" t="n">
        <f aca="false">IF(G18="","",MAX(0,I18-L18))</f>
        <v>4957017.7797007</v>
      </c>
      <c r="N18" s="14"/>
    </row>
    <row r="19" customFormat="false" ht="15" hidden="false" customHeight="false" outlineLevel="0" collapsed="false">
      <c r="A19" s="36" t="n">
        <f aca="false">IF(7&lt;=$B$6,7,"")</f>
        <v>7</v>
      </c>
      <c r="B19" s="24" t="n">
        <f aca="false">IF(A19="","",SUMIF($H$13:$H$372,A19,$L$13:$L$372))</f>
        <v>155341.44861245</v>
      </c>
      <c r="C19" s="24" t="n">
        <f aca="false">IF(A19="","",SUMIF($H$13:$H$372,A19,$K$13:$K$372))</f>
        <v>403937.264087661</v>
      </c>
      <c r="D19" s="24" t="n">
        <f aca="false">IF(A19="","",INDEX($M$13:$M$372,A19*12))</f>
        <v>4166611.66146648</v>
      </c>
      <c r="G19" s="37" t="n">
        <f aca="false">IF(7&lt;=$B$6*12,7,"")</f>
        <v>7</v>
      </c>
      <c r="H19" s="37" t="n">
        <f aca="false">IF(G19="","",ROUNDUP(G19/12,0))</f>
        <v>1</v>
      </c>
      <c r="I19" s="14" t="n">
        <f aca="false">IF(G19="","",M18)</f>
        <v>4957017.7797007</v>
      </c>
      <c r="J19" s="14" t="n">
        <f aca="false">IF(G19="","",$E$5)</f>
        <v>46606.5593916759</v>
      </c>
      <c r="K19" s="14" t="n">
        <f aca="false">IF(G19="","",I19*$E$4/12)</f>
        <v>39243.0574226306</v>
      </c>
      <c r="L19" s="14" t="n">
        <f aca="false">IF(G19="","",J19-K19)</f>
        <v>7363.50196904535</v>
      </c>
      <c r="M19" s="14" t="n">
        <f aca="false">IF(G19="","",MAX(0,I19-L19))</f>
        <v>4949654.27773166</v>
      </c>
      <c r="N19" s="14"/>
    </row>
    <row r="20" customFormat="false" ht="15" hidden="false" customHeight="false" outlineLevel="0" collapsed="false">
      <c r="A20" s="36" t="n">
        <f aca="false">IF(8&lt;=$B$6,8,"")</f>
        <v>8</v>
      </c>
      <c r="B20" s="24" t="n">
        <f aca="false">IF(A20="","",SUMIF($H$13:$H$372,A20,$L$13:$L$372))</f>
        <v>170758.712094879</v>
      </c>
      <c r="C20" s="24" t="n">
        <f aca="false">IF(A20="","",SUMIF($H$13:$H$372,A20,$K$13:$K$372))</f>
        <v>388520.000605231</v>
      </c>
      <c r="D20" s="24" t="n">
        <f aca="false">IF(A20="","",INDEX($M$13:$M$372,A20*12))</f>
        <v>3995852.9493716</v>
      </c>
      <c r="G20" s="37" t="n">
        <f aca="false">IF(8&lt;=$B$6*12,8,"")</f>
        <v>8</v>
      </c>
      <c r="H20" s="37" t="n">
        <f aca="false">IF(G20="","",ROUNDUP(G20/12,0))</f>
        <v>1</v>
      </c>
      <c r="I20" s="14" t="n">
        <f aca="false">IF(G20="","",M19)</f>
        <v>4949654.27773166</v>
      </c>
      <c r="J20" s="14" t="n">
        <f aca="false">IF(G20="","",$E$5)</f>
        <v>46606.5593916759</v>
      </c>
      <c r="K20" s="14" t="n">
        <f aca="false">IF(G20="","",I20*$E$4/12)</f>
        <v>39184.7630320423</v>
      </c>
      <c r="L20" s="14" t="n">
        <f aca="false">IF(G20="","",J20-K20)</f>
        <v>7421.79635963362</v>
      </c>
      <c r="M20" s="14" t="n">
        <f aca="false">IF(G20="","",MAX(0,I20-L20))</f>
        <v>4942232.48137202</v>
      </c>
      <c r="N20" s="14"/>
    </row>
    <row r="21" customFormat="false" ht="15" hidden="false" customHeight="false" outlineLevel="0" collapsed="false">
      <c r="A21" s="36" t="n">
        <f aca="false">IF(9&lt;=$B$6,9,"")</f>
        <v>9</v>
      </c>
      <c r="B21" s="24" t="n">
        <f aca="false">IF(A21="","",SUMIF($H$13:$H$372,A21,$L$13:$L$372))</f>
        <v>187706.101731081</v>
      </c>
      <c r="C21" s="24" t="n">
        <f aca="false">IF(A21="","",SUMIF($H$13:$H$372,A21,$K$13:$K$372))</f>
        <v>371572.61096903</v>
      </c>
      <c r="D21" s="24" t="n">
        <f aca="false">IF(A21="","",INDEX($M$13:$M$372,A21*12))</f>
        <v>3808146.84764052</v>
      </c>
      <c r="G21" s="37" t="n">
        <f aca="false">IF(9&lt;=$B$6*12,9,"")</f>
        <v>9</v>
      </c>
      <c r="H21" s="37" t="n">
        <f aca="false">IF(G21="","",ROUNDUP(G21/12,0))</f>
        <v>1</v>
      </c>
      <c r="I21" s="14" t="n">
        <f aca="false">IF(G21="","",M20)</f>
        <v>4942232.48137202</v>
      </c>
      <c r="J21" s="14" t="n">
        <f aca="false">IF(G21="","",$E$5)</f>
        <v>46606.5593916759</v>
      </c>
      <c r="K21" s="14" t="n">
        <f aca="false">IF(G21="","",I21*$E$4/12)</f>
        <v>39126.0071441952</v>
      </c>
      <c r="L21" s="14" t="n">
        <f aca="false">IF(G21="","",J21-K21)</f>
        <v>7480.55224748072</v>
      </c>
      <c r="M21" s="14" t="n">
        <f aca="false">IF(G21="","",MAX(0,I21-L21))</f>
        <v>4934751.92912454</v>
      </c>
      <c r="N21" s="14"/>
    </row>
    <row r="22" customFormat="false" ht="15" hidden="false" customHeight="false" outlineLevel="0" collapsed="false">
      <c r="A22" s="36" t="n">
        <f aca="false">IF(10&lt;=$B$6,10,"")</f>
        <v>10</v>
      </c>
      <c r="B22" s="24" t="n">
        <f aca="false">IF(A22="","",SUMIF($H$13:$H$372,A22,$L$13:$L$372))</f>
        <v>206335.478845155</v>
      </c>
      <c r="C22" s="24" t="n">
        <f aca="false">IF(A22="","",SUMIF($H$13:$H$372,A22,$K$13:$K$372))</f>
        <v>352943.233854956</v>
      </c>
      <c r="D22" s="24" t="n">
        <f aca="false">IF(A22="","",INDEX($M$13:$M$372,A22*12))</f>
        <v>3601811.36879536</v>
      </c>
      <c r="G22" s="37" t="n">
        <f aca="false">IF(10&lt;=$B$6*12,10,"")</f>
        <v>10</v>
      </c>
      <c r="H22" s="37" t="n">
        <f aca="false">IF(G22="","",ROUNDUP(G22/12,0))</f>
        <v>1</v>
      </c>
      <c r="I22" s="14" t="n">
        <f aca="false">IF(G22="","",M21)</f>
        <v>4934751.92912454</v>
      </c>
      <c r="J22" s="14" t="n">
        <f aca="false">IF(G22="","",$E$5)</f>
        <v>46606.5593916759</v>
      </c>
      <c r="K22" s="14" t="n">
        <f aca="false">IF(G22="","",I22*$E$4/12)</f>
        <v>39066.7861055693</v>
      </c>
      <c r="L22" s="14" t="n">
        <f aca="false">IF(G22="","",J22-K22)</f>
        <v>7539.7732861066</v>
      </c>
      <c r="M22" s="14" t="n">
        <f aca="false">IF(G22="","",MAX(0,I22-L22))</f>
        <v>4927212.15583844</v>
      </c>
      <c r="N22" s="14"/>
    </row>
    <row r="23" customFormat="false" ht="15" hidden="false" customHeight="false" outlineLevel="0" collapsed="false">
      <c r="A23" s="36" t="n">
        <f aca="false">IF(11&lt;=$B$6,11,"")</f>
        <v>11</v>
      </c>
      <c r="B23" s="24" t="n">
        <f aca="false">IF(A23="","",SUMIF($H$13:$H$372,A23,$L$13:$L$372))</f>
        <v>226813.776630734</v>
      </c>
      <c r="C23" s="24" t="n">
        <f aca="false">IF(A23="","",SUMIF($H$13:$H$372,A23,$K$13:$K$372))</f>
        <v>332464.936069377</v>
      </c>
      <c r="D23" s="24" t="n">
        <f aca="false">IF(A23="","",INDEX($M$13:$M$372,A23*12))</f>
        <v>3374997.59216463</v>
      </c>
      <c r="G23" s="37" t="n">
        <f aca="false">IF(11&lt;=$B$6*12,11,"")</f>
        <v>11</v>
      </c>
      <c r="H23" s="37" t="n">
        <f aca="false">IF(G23="","",ROUNDUP(G23/12,0))</f>
        <v>1</v>
      </c>
      <c r="I23" s="14" t="n">
        <f aca="false">IF(G23="","",M22)</f>
        <v>4927212.15583844</v>
      </c>
      <c r="J23" s="14" t="n">
        <f aca="false">IF(G23="","",$E$5)</f>
        <v>46606.5593916759</v>
      </c>
      <c r="K23" s="14" t="n">
        <f aca="false">IF(G23="","",I23*$E$4/12)</f>
        <v>39007.096233721</v>
      </c>
      <c r="L23" s="14" t="n">
        <f aca="false">IF(G23="","",J23-K23)</f>
        <v>7599.46315795495</v>
      </c>
      <c r="M23" s="14" t="n">
        <f aca="false">IF(G23="","",MAX(0,I23-L23))</f>
        <v>4919612.69268048</v>
      </c>
      <c r="N23" s="14"/>
    </row>
    <row r="24" customFormat="false" ht="15" hidden="false" customHeight="false" outlineLevel="0" collapsed="false">
      <c r="A24" s="36" t="n">
        <f aca="false">IF(12&lt;=$B$6,12,"")</f>
        <v>12</v>
      </c>
      <c r="B24" s="24" t="n">
        <f aca="false">IF(A24="","",SUMIF($H$13:$H$372,A24,$L$13:$L$372))</f>
        <v>249324.495997624</v>
      </c>
      <c r="C24" s="24" t="n">
        <f aca="false">IF(A24="","",SUMIF($H$13:$H$372,A24,$K$13:$K$372))</f>
        <v>309954.216702487</v>
      </c>
      <c r="D24" s="24" t="n">
        <f aca="false">IF(A24="","",INDEX($M$13:$M$372,A24*12))</f>
        <v>3125673.096167</v>
      </c>
      <c r="G24" s="37" t="n">
        <f aca="false">IF(12&lt;=$B$6*12,12,"")</f>
        <v>12</v>
      </c>
      <c r="H24" s="37" t="n">
        <f aca="false">IF(G24="","",ROUNDUP(G24/12,0))</f>
        <v>1</v>
      </c>
      <c r="I24" s="14" t="n">
        <f aca="false">IF(G24="","",M23)</f>
        <v>4919612.69268048</v>
      </c>
      <c r="J24" s="14" t="n">
        <f aca="false">IF(G24="","",$E$5)</f>
        <v>46606.5593916759</v>
      </c>
      <c r="K24" s="14" t="n">
        <f aca="false">IF(G24="","",I24*$E$4/12)</f>
        <v>38946.9338170538</v>
      </c>
      <c r="L24" s="14" t="n">
        <f aca="false">IF(G24="","",J24-K24)</f>
        <v>7659.6255746221</v>
      </c>
      <c r="M24" s="14" t="n">
        <f aca="false">IF(G24="","",MAX(0,I24-L24))</f>
        <v>4911953.06710586</v>
      </c>
      <c r="N24" s="14"/>
    </row>
    <row r="25" customFormat="false" ht="15" hidden="false" customHeight="false" outlineLevel="0" collapsed="false">
      <c r="A25" s="36" t="n">
        <f aca="false">IF(13&lt;=$B$6,13,"")</f>
        <v>13</v>
      </c>
      <c r="B25" s="24" t="n">
        <f aca="false">IF(A25="","",SUMIF($H$13:$H$372,A25,$L$13:$L$372))</f>
        <v>274069.349877604</v>
      </c>
      <c r="C25" s="24" t="n">
        <f aca="false">IF(A25="","",SUMIF($H$13:$H$372,A25,$K$13:$K$372))</f>
        <v>285209.362822507</v>
      </c>
      <c r="D25" s="24" t="n">
        <f aca="false">IF(A25="","",INDEX($M$13:$M$372,A25*12))</f>
        <v>2851603.7462894</v>
      </c>
      <c r="G25" s="37" t="n">
        <f aca="false">IF(13&lt;=$B$6*12,13,"")</f>
        <v>13</v>
      </c>
      <c r="H25" s="37" t="n">
        <f aca="false">IF(G25="","",ROUNDUP(G25/12,0))</f>
        <v>2</v>
      </c>
      <c r="I25" s="14" t="n">
        <f aca="false">IF(G25="","",M24)</f>
        <v>4911953.06710586</v>
      </c>
      <c r="J25" s="14" t="n">
        <f aca="false">IF(G25="","",$E$5)</f>
        <v>46606.5593916759</v>
      </c>
      <c r="K25" s="14" t="n">
        <f aca="false">IF(G25="","",I25*$E$4/12)</f>
        <v>38886.295114588</v>
      </c>
      <c r="L25" s="14" t="n">
        <f aca="false">IF(G25="","",J25-K25)</f>
        <v>7720.26427708786</v>
      </c>
      <c r="M25" s="14" t="n">
        <f aca="false">IF(G25="","",MAX(0,I25-L25))</f>
        <v>4904232.80282877</v>
      </c>
      <c r="N25" s="14"/>
    </row>
    <row r="26" customFormat="false" ht="15" hidden="false" customHeight="false" outlineLevel="0" collapsed="false">
      <c r="A26" s="36" t="n">
        <f aca="false">IF(14&lt;=$B$6,14,"")</f>
        <v>14</v>
      </c>
      <c r="B26" s="24" t="n">
        <f aca="false">IF(A26="","",SUMIF($H$13:$H$372,A26,$L$13:$L$372))</f>
        <v>301270.070723609</v>
      </c>
      <c r="C26" s="24" t="n">
        <f aca="false">IF(A26="","",SUMIF($H$13:$H$372,A26,$K$13:$K$372))</f>
        <v>258008.641976502</v>
      </c>
      <c r="D26" s="24" t="n">
        <f aca="false">IF(A26="","",INDEX($M$13:$M$372,A26*12))</f>
        <v>2550333.67556579</v>
      </c>
      <c r="G26" s="37" t="n">
        <f aca="false">IF(14&lt;=$B$6*12,14,"")</f>
        <v>14</v>
      </c>
      <c r="H26" s="37" t="n">
        <f aca="false">IF(G26="","",ROUNDUP(G26/12,0))</f>
        <v>2</v>
      </c>
      <c r="I26" s="14" t="n">
        <f aca="false">IF(G26="","",M25)</f>
        <v>4904232.80282877</v>
      </c>
      <c r="J26" s="14" t="n">
        <f aca="false">IF(G26="","",$E$5)</f>
        <v>46606.5593916759</v>
      </c>
      <c r="K26" s="14" t="n">
        <f aca="false">IF(G26="","",I26*$E$4/12)</f>
        <v>38825.1763557278</v>
      </c>
      <c r="L26" s="14" t="n">
        <f aca="false">IF(G26="","",J26-K26)</f>
        <v>7781.38303594813</v>
      </c>
      <c r="M26" s="14" t="n">
        <f aca="false">IF(G26="","",MAX(0,I26-L26))</f>
        <v>4896451.41979282</v>
      </c>
      <c r="N26" s="14"/>
    </row>
    <row r="27" customFormat="false" ht="15" hidden="false" customHeight="false" outlineLevel="0" collapsed="false">
      <c r="A27" s="36" t="n">
        <f aca="false">IF(15&lt;=$B$6,15,"")</f>
        <v>15</v>
      </c>
      <c r="B27" s="24" t="n">
        <f aca="false">IF(A27="","",SUMIF($H$13:$H$372,A27,$L$13:$L$372))</f>
        <v>331170.397398841</v>
      </c>
      <c r="C27" s="24" t="n">
        <f aca="false">IF(A27="","",SUMIF($H$13:$H$372,A27,$K$13:$K$372))</f>
        <v>228108.315301269</v>
      </c>
      <c r="D27" s="24" t="n">
        <f aca="false">IF(A27="","",INDEX($M$13:$M$372,A27*12))</f>
        <v>2219163.27816695</v>
      </c>
      <c r="G27" s="37" t="n">
        <f aca="false">IF(15&lt;=$B$6*12,15,"")</f>
        <v>15</v>
      </c>
      <c r="H27" s="37" t="n">
        <f aca="false">IF(G27="","",ROUNDUP(G27/12,0))</f>
        <v>2</v>
      </c>
      <c r="I27" s="14" t="n">
        <f aca="false">IF(G27="","",M26)</f>
        <v>4896451.41979282</v>
      </c>
      <c r="J27" s="14" t="n">
        <f aca="false">IF(G27="","",$E$5)</f>
        <v>46606.5593916759</v>
      </c>
      <c r="K27" s="14" t="n">
        <f aca="false">IF(G27="","",I27*$E$4/12)</f>
        <v>38763.5737400265</v>
      </c>
      <c r="L27" s="14" t="n">
        <f aca="false">IF(G27="","",J27-K27)</f>
        <v>7842.98565164939</v>
      </c>
      <c r="M27" s="14" t="n">
        <f aca="false">IF(G27="","",MAX(0,I27-L27))</f>
        <v>4888608.43414117</v>
      </c>
      <c r="N27" s="14"/>
    </row>
    <row r="28" customFormat="false" ht="15" hidden="false" customHeight="false" outlineLevel="0" collapsed="false">
      <c r="A28" s="36" t="n">
        <f aca="false">IF(16&lt;=$B$6,16,"")</f>
        <v>16</v>
      </c>
      <c r="B28" s="24" t="n">
        <f aca="false">IF(A28="","",SUMIF($H$13:$H$372,A28,$L$13:$L$372))</f>
        <v>364038.259259824</v>
      </c>
      <c r="C28" s="24" t="n">
        <f aca="false">IF(A28="","",SUMIF($H$13:$H$372,A28,$K$13:$K$372))</f>
        <v>195240.453440287</v>
      </c>
      <c r="D28" s="24" t="n">
        <f aca="false">IF(A28="","",INDEX($M$13:$M$372,A28*12))</f>
        <v>1855125.01890713</v>
      </c>
      <c r="G28" s="37" t="n">
        <f aca="false">IF(16&lt;=$B$6*12,16,"")</f>
        <v>16</v>
      </c>
      <c r="H28" s="37" t="n">
        <f aca="false">IF(G28="","",ROUNDUP(G28/12,0))</f>
        <v>2</v>
      </c>
      <c r="I28" s="14" t="n">
        <f aca="false">IF(G28="","",M27)</f>
        <v>4888608.43414117</v>
      </c>
      <c r="J28" s="14" t="n">
        <f aca="false">IF(G28="","",$E$5)</f>
        <v>46606.5593916759</v>
      </c>
      <c r="K28" s="14" t="n">
        <f aca="false">IF(G28="","",I28*$E$4/12)</f>
        <v>38701.483436951</v>
      </c>
      <c r="L28" s="14" t="n">
        <f aca="false">IF(G28="","",J28-K28)</f>
        <v>7905.07595472495</v>
      </c>
      <c r="M28" s="14" t="n">
        <f aca="false">IF(G28="","",MAX(0,I28-L28))</f>
        <v>4880703.35818645</v>
      </c>
      <c r="N28" s="14"/>
    </row>
    <row r="29" customFormat="false" ht="15" hidden="false" customHeight="false" outlineLevel="0" collapsed="false">
      <c r="A29" s="36" t="n">
        <f aca="false">IF(17&lt;=$B$6,17,"")</f>
        <v>17</v>
      </c>
      <c r="B29" s="24" t="n">
        <f aca="false">IF(A29="","",SUMIF($H$13:$H$372,A29,$L$13:$L$372))</f>
        <v>400168.177004418</v>
      </c>
      <c r="C29" s="24" t="n">
        <f aca="false">IF(A29="","",SUMIF($H$13:$H$372,A29,$K$13:$K$372))</f>
        <v>159110.535695693</v>
      </c>
      <c r="D29" s="24" t="n">
        <f aca="false">IF(A29="","",INDEX($M$13:$M$372,A29*12))</f>
        <v>1454956.84190271</v>
      </c>
      <c r="G29" s="37" t="n">
        <f aca="false">IF(17&lt;=$B$6*12,17,"")</f>
        <v>17</v>
      </c>
      <c r="H29" s="37" t="n">
        <f aca="false">IF(G29="","",ROUNDUP(G29/12,0))</f>
        <v>2</v>
      </c>
      <c r="I29" s="14" t="n">
        <f aca="false">IF(G29="","",M28)</f>
        <v>4880703.35818645</v>
      </c>
      <c r="J29" s="14" t="n">
        <f aca="false">IF(G29="","",$E$5)</f>
        <v>46606.5593916759</v>
      </c>
      <c r="K29" s="14" t="n">
        <f aca="false">IF(G29="","",I29*$E$4/12)</f>
        <v>38638.9015856427</v>
      </c>
      <c r="L29" s="14" t="n">
        <f aca="false">IF(G29="","",J29-K29)</f>
        <v>7967.65780603319</v>
      </c>
      <c r="M29" s="14" t="n">
        <f aca="false">IF(G29="","",MAX(0,I29-L29))</f>
        <v>4872735.70038042</v>
      </c>
      <c r="N29" s="14"/>
    </row>
    <row r="30" customFormat="false" ht="15" hidden="false" customHeight="false" outlineLevel="0" collapsed="false">
      <c r="A30" s="36" t="n">
        <f aca="false">IF(18&lt;=$B$6,18,"")</f>
        <v>18</v>
      </c>
      <c r="B30" s="24" t="n">
        <f aca="false">IF(A30="","",SUMIF($H$13:$H$372,A30,$L$13:$L$372))</f>
        <v>439883.901798207</v>
      </c>
      <c r="C30" s="24" t="n">
        <f aca="false">IF(A30="","",SUMIF($H$13:$H$372,A30,$K$13:$K$372))</f>
        <v>119394.810901903</v>
      </c>
      <c r="D30" s="24" t="n">
        <f aca="false">IF(A30="","",INDEX($M$13:$M$372,A30*12))</f>
        <v>1015072.9401045</v>
      </c>
      <c r="G30" s="37" t="n">
        <f aca="false">IF(18&lt;=$B$6*12,18,"")</f>
        <v>18</v>
      </c>
      <c r="H30" s="37" t="n">
        <f aca="false">IF(G30="","",ROUNDUP(G30/12,0))</f>
        <v>2</v>
      </c>
      <c r="I30" s="14" t="n">
        <f aca="false">IF(G30="","",M29)</f>
        <v>4872735.70038042</v>
      </c>
      <c r="J30" s="14" t="n">
        <f aca="false">IF(G30="","",$E$5)</f>
        <v>46606.5593916759</v>
      </c>
      <c r="K30" s="14" t="n">
        <f aca="false">IF(G30="","",I30*$E$4/12)</f>
        <v>38575.8242946783</v>
      </c>
      <c r="L30" s="14" t="n">
        <f aca="false">IF(G30="","",J30-K30)</f>
        <v>8030.73509699762</v>
      </c>
      <c r="M30" s="14" t="n">
        <f aca="false">IF(G30="","",MAX(0,I30-L30))</f>
        <v>4864704.96528342</v>
      </c>
      <c r="N30" s="14"/>
    </row>
    <row r="31" customFormat="false" ht="15" hidden="false" customHeight="false" outlineLevel="0" collapsed="false">
      <c r="A31" s="36" t="n">
        <f aca="false">IF(19&lt;=$B$6,19,"")</f>
        <v>19</v>
      </c>
      <c r="B31" s="24" t="n">
        <f aca="false">IF(A31="","",SUMIF($H$13:$H$372,A31,$L$13:$L$372))</f>
        <v>483541.316327807</v>
      </c>
      <c r="C31" s="24" t="n">
        <f aca="false">IF(A31="","",SUMIF($H$13:$H$372,A31,$K$13:$K$372))</f>
        <v>75737.3963723036</v>
      </c>
      <c r="D31" s="24" t="n">
        <f aca="false">IF(A31="","",INDEX($M$13:$M$372,A31*12))</f>
        <v>531531.623776695</v>
      </c>
      <c r="G31" s="37" t="n">
        <f aca="false">IF(19&lt;=$B$6*12,19,"")</f>
        <v>19</v>
      </c>
      <c r="H31" s="37" t="n">
        <f aca="false">IF(G31="","",ROUNDUP(G31/12,0))</f>
        <v>2</v>
      </c>
      <c r="I31" s="14" t="n">
        <f aca="false">IF(G31="","",M30)</f>
        <v>4864704.96528342</v>
      </c>
      <c r="J31" s="14" t="n">
        <f aca="false">IF(G31="","",$E$5)</f>
        <v>46606.5593916759</v>
      </c>
      <c r="K31" s="14" t="n">
        <f aca="false">IF(G31="","",I31*$E$4/12)</f>
        <v>38512.2476418271</v>
      </c>
      <c r="L31" s="14" t="n">
        <f aca="false">IF(G31="","",J31-K31)</f>
        <v>8094.31174984885</v>
      </c>
      <c r="M31" s="14" t="n">
        <f aca="false">IF(G31="","",MAX(0,I31-L31))</f>
        <v>4856610.65353357</v>
      </c>
      <c r="N31" s="14"/>
    </row>
    <row r="32" customFormat="false" ht="15" hidden="false" customHeight="false" outlineLevel="0" collapsed="false">
      <c r="A32" s="36" t="n">
        <f aca="false">IF(20&lt;=$B$6,20,"")</f>
        <v>20</v>
      </c>
      <c r="B32" s="24" t="n">
        <f aca="false">IF(A32="","",SUMIF($H$13:$H$372,A32,$L$13:$L$372))</f>
        <v>531531.623776693</v>
      </c>
      <c r="C32" s="24" t="n">
        <f aca="false">IF(A32="","",SUMIF($H$13:$H$372,A32,$K$13:$K$372))</f>
        <v>27747.0889234178</v>
      </c>
      <c r="D32" s="24" t="n">
        <f aca="false">IF(A32="","",INDEX($M$13:$M$372,A32*12))</f>
        <v>1.67347025126219E-009</v>
      </c>
      <c r="G32" s="37" t="n">
        <f aca="false">IF(20&lt;=$B$6*12,20,"")</f>
        <v>20</v>
      </c>
      <c r="H32" s="37" t="n">
        <f aca="false">IF(G32="","",ROUNDUP(G32/12,0))</f>
        <v>2</v>
      </c>
      <c r="I32" s="14" t="n">
        <f aca="false">IF(G32="","",M31)</f>
        <v>4856610.65353357</v>
      </c>
      <c r="J32" s="14" t="n">
        <f aca="false">IF(G32="","",$E$5)</f>
        <v>46606.5593916759</v>
      </c>
      <c r="K32" s="14" t="n">
        <f aca="false">IF(G32="","",I32*$E$4/12)</f>
        <v>38448.1676738074</v>
      </c>
      <c r="L32" s="14" t="n">
        <f aca="false">IF(G32="","",J32-K32)</f>
        <v>8158.39171786849</v>
      </c>
      <c r="M32" s="14" t="n">
        <f aca="false">IF(G32="","",MAX(0,I32-L32))</f>
        <v>4848452.2618157</v>
      </c>
      <c r="N32" s="14"/>
    </row>
    <row r="33" customFormat="false" ht="15" hidden="false" customHeight="false" outlineLevel="0" collapsed="false">
      <c r="A33" s="36" t="str">
        <f aca="false">IF(21&lt;=$B$6,21,"")</f>
        <v/>
      </c>
      <c r="B33" s="24" t="str">
        <f aca="false">IF(A33="","",SUMIF($H$13:$H$372,A33,$L$13:$L$372))</f>
        <v/>
      </c>
      <c r="C33" s="24" t="str">
        <f aca="false">IF(A33="","",SUMIF($H$13:$H$372,A33,$K$13:$K$372))</f>
        <v/>
      </c>
      <c r="D33" s="24" t="str">
        <f aca="false">IF(A33="","",INDEX($M$13:$M$372,A33*12))</f>
        <v/>
      </c>
      <c r="G33" s="37" t="n">
        <f aca="false">IF(21&lt;=$B$6*12,21,"")</f>
        <v>21</v>
      </c>
      <c r="H33" s="37" t="n">
        <f aca="false">IF(G33="","",ROUNDUP(G33/12,0))</f>
        <v>2</v>
      </c>
      <c r="I33" s="14" t="n">
        <f aca="false">IF(G33="","",M32)</f>
        <v>4848452.2618157</v>
      </c>
      <c r="J33" s="14" t="n">
        <f aca="false">IF(G33="","",$E$5)</f>
        <v>46606.5593916759</v>
      </c>
      <c r="K33" s="14" t="n">
        <f aca="false">IF(G33="","",I33*$E$4/12)</f>
        <v>38383.580406041</v>
      </c>
      <c r="L33" s="14" t="n">
        <f aca="false">IF(G33="","",J33-K33)</f>
        <v>8222.97898563495</v>
      </c>
      <c r="M33" s="14" t="n">
        <f aca="false">IF(G33="","",MAX(0,I33-L33))</f>
        <v>4840229.28283007</v>
      </c>
      <c r="N33" s="14"/>
    </row>
    <row r="34" customFormat="false" ht="15" hidden="false" customHeight="false" outlineLevel="0" collapsed="false">
      <c r="A34" s="36" t="str">
        <f aca="false">IF(22&lt;=$B$6,22,"")</f>
        <v/>
      </c>
      <c r="B34" s="24" t="str">
        <f aca="false">IF(A34="","",SUMIF($H$13:$H$372,A34,$L$13:$L$372))</f>
        <v/>
      </c>
      <c r="C34" s="24" t="str">
        <f aca="false">IF(A34="","",SUMIF($H$13:$H$372,A34,$K$13:$K$372))</f>
        <v/>
      </c>
      <c r="D34" s="24" t="str">
        <f aca="false">IF(A34="","",INDEX($M$13:$M$372,A34*12))</f>
        <v/>
      </c>
      <c r="G34" s="37" t="n">
        <f aca="false">IF(22&lt;=$B$6*12,22,"")</f>
        <v>22</v>
      </c>
      <c r="H34" s="37" t="n">
        <f aca="false">IF(G34="","",ROUNDUP(G34/12,0))</f>
        <v>2</v>
      </c>
      <c r="I34" s="14" t="n">
        <f aca="false">IF(G34="","",M33)</f>
        <v>4840229.28283007</v>
      </c>
      <c r="J34" s="14" t="n">
        <f aca="false">IF(G34="","",$E$5)</f>
        <v>46606.5593916759</v>
      </c>
      <c r="K34" s="14" t="n">
        <f aca="false">IF(G34="","",I34*$E$4/12)</f>
        <v>38318.4818224047</v>
      </c>
      <c r="L34" s="14" t="n">
        <f aca="false">IF(G34="","",J34-K34)</f>
        <v>8288.07756927122</v>
      </c>
      <c r="M34" s="14" t="n">
        <f aca="false">IF(G34="","",MAX(0,I34-L34))</f>
        <v>4831941.20526079</v>
      </c>
      <c r="N34" s="14"/>
    </row>
    <row r="35" customFormat="false" ht="15" hidden="false" customHeight="false" outlineLevel="0" collapsed="false">
      <c r="A35" s="36" t="str">
        <f aca="false">IF(23&lt;=$B$6,23,"")</f>
        <v/>
      </c>
      <c r="B35" s="24" t="str">
        <f aca="false">IF(A35="","",SUMIF($H$13:$H$372,A35,$L$13:$L$372))</f>
        <v/>
      </c>
      <c r="C35" s="24" t="str">
        <f aca="false">IF(A35="","",SUMIF($H$13:$H$372,A35,$K$13:$K$372))</f>
        <v/>
      </c>
      <c r="D35" s="24" t="str">
        <f aca="false">IF(A35="","",INDEX($M$13:$M$372,A35*12))</f>
        <v/>
      </c>
      <c r="G35" s="37" t="n">
        <f aca="false">IF(23&lt;=$B$6*12,23,"")</f>
        <v>23</v>
      </c>
      <c r="H35" s="37" t="n">
        <f aca="false">IF(G35="","",ROUNDUP(G35/12,0))</f>
        <v>2</v>
      </c>
      <c r="I35" s="14" t="n">
        <f aca="false">IF(G35="","",M34)</f>
        <v>4831941.20526079</v>
      </c>
      <c r="J35" s="14" t="n">
        <f aca="false">IF(G35="","",$E$5)</f>
        <v>46606.5593916759</v>
      </c>
      <c r="K35" s="14" t="n">
        <f aca="false">IF(G35="","",I35*$E$4/12)</f>
        <v>38252.8678749813</v>
      </c>
      <c r="L35" s="14" t="n">
        <f aca="false">IF(G35="","",J35-K35)</f>
        <v>8353.69151669462</v>
      </c>
      <c r="M35" s="14" t="n">
        <f aca="false">IF(G35="","",MAX(0,I35-L35))</f>
        <v>4823587.5137441</v>
      </c>
      <c r="N35" s="14"/>
    </row>
    <row r="36" customFormat="false" ht="15" hidden="false" customHeight="false" outlineLevel="0" collapsed="false">
      <c r="A36" s="36" t="str">
        <f aca="false">IF(24&lt;=$B$6,24,"")</f>
        <v/>
      </c>
      <c r="B36" s="24" t="str">
        <f aca="false">IF(A36="","",SUMIF($H$13:$H$372,A36,$L$13:$L$372))</f>
        <v/>
      </c>
      <c r="C36" s="24" t="str">
        <f aca="false">IF(A36="","",SUMIF($H$13:$H$372,A36,$K$13:$K$372))</f>
        <v/>
      </c>
      <c r="D36" s="24" t="str">
        <f aca="false">IF(A36="","",INDEX($M$13:$M$372,A36*12))</f>
        <v/>
      </c>
      <c r="G36" s="37" t="n">
        <f aca="false">IF(24&lt;=$B$6*12,24,"")</f>
        <v>24</v>
      </c>
      <c r="H36" s="37" t="n">
        <f aca="false">IF(G36="","",ROUNDUP(G36/12,0))</f>
        <v>2</v>
      </c>
      <c r="I36" s="14" t="n">
        <f aca="false">IF(G36="","",M35)</f>
        <v>4823587.5137441</v>
      </c>
      <c r="J36" s="14" t="n">
        <f aca="false">IF(G36="","",$E$5)</f>
        <v>46606.5593916759</v>
      </c>
      <c r="K36" s="14" t="n">
        <f aca="false">IF(G36="","",I36*$E$4/12)</f>
        <v>38186.7344838075</v>
      </c>
      <c r="L36" s="14" t="n">
        <f aca="false">IF(G36="","",J36-K36)</f>
        <v>8419.82490786845</v>
      </c>
      <c r="M36" s="14" t="n">
        <f aca="false">IF(G36="","",MAX(0,I36-L36))</f>
        <v>4815167.68883623</v>
      </c>
      <c r="N36" s="14"/>
    </row>
    <row r="37" customFormat="false" ht="15" hidden="false" customHeight="false" outlineLevel="0" collapsed="false">
      <c r="A37" s="36" t="str">
        <f aca="false">IF(25&lt;=$B$6,25,"")</f>
        <v/>
      </c>
      <c r="B37" s="24" t="str">
        <f aca="false">IF(A37="","",SUMIF($H$13:$H$372,A37,$L$13:$L$372))</f>
        <v/>
      </c>
      <c r="C37" s="24" t="str">
        <f aca="false">IF(A37="","",SUMIF($H$13:$H$372,A37,$K$13:$K$372))</f>
        <v/>
      </c>
      <c r="D37" s="24" t="str">
        <f aca="false">IF(A37="","",INDEX($M$13:$M$372,A37*12))</f>
        <v/>
      </c>
      <c r="G37" s="37" t="n">
        <f aca="false">IF(25&lt;=$B$6*12,25,"")</f>
        <v>25</v>
      </c>
      <c r="H37" s="37" t="n">
        <f aca="false">IF(G37="","",ROUNDUP(G37/12,0))</f>
        <v>3</v>
      </c>
      <c r="I37" s="14" t="n">
        <f aca="false">IF(G37="","",M36)</f>
        <v>4815167.68883623</v>
      </c>
      <c r="J37" s="14" t="n">
        <f aca="false">IF(G37="","",$E$5)</f>
        <v>46606.5593916759</v>
      </c>
      <c r="K37" s="14" t="n">
        <f aca="false">IF(G37="","",I37*$E$4/12)</f>
        <v>38120.0775366202</v>
      </c>
      <c r="L37" s="14" t="n">
        <f aca="false">IF(G37="","",J37-K37)</f>
        <v>8486.48185505574</v>
      </c>
      <c r="M37" s="14" t="n">
        <f aca="false">IF(G37="","",MAX(0,I37-L37))</f>
        <v>4806681.20698118</v>
      </c>
      <c r="N37" s="14"/>
    </row>
    <row r="38" customFormat="false" ht="15" hidden="false" customHeight="false" outlineLevel="0" collapsed="false">
      <c r="A38" s="36" t="str">
        <f aca="false">IF(26&lt;=$B$6,26,"")</f>
        <v/>
      </c>
      <c r="B38" s="24" t="str">
        <f aca="false">IF(A38="","",SUMIF($H$13:$H$372,A38,$L$13:$L$372))</f>
        <v/>
      </c>
      <c r="C38" s="24" t="str">
        <f aca="false">IF(A38="","",SUMIF($H$13:$H$372,A38,$K$13:$K$372))</f>
        <v/>
      </c>
      <c r="D38" s="24" t="str">
        <f aca="false">IF(A38="","",INDEX($M$13:$M$372,A38*12))</f>
        <v/>
      </c>
      <c r="G38" s="37" t="n">
        <f aca="false">IF(26&lt;=$B$6*12,26,"")</f>
        <v>26</v>
      </c>
      <c r="H38" s="37" t="n">
        <f aca="false">IF(G38="","",ROUNDUP(G38/12,0))</f>
        <v>3</v>
      </c>
      <c r="I38" s="14" t="n">
        <f aca="false">IF(G38="","",M37)</f>
        <v>4806681.20698118</v>
      </c>
      <c r="J38" s="14" t="n">
        <f aca="false">IF(G38="","",$E$5)</f>
        <v>46606.5593916759</v>
      </c>
      <c r="K38" s="14" t="n">
        <f aca="false">IF(G38="","",I38*$E$4/12)</f>
        <v>38052.892888601</v>
      </c>
      <c r="L38" s="14" t="n">
        <f aca="false">IF(G38="","",J38-K38)</f>
        <v>8553.66650307493</v>
      </c>
      <c r="M38" s="14" t="n">
        <f aca="false">IF(G38="","",MAX(0,I38-L38))</f>
        <v>4798127.5404781</v>
      </c>
      <c r="N38" s="14"/>
    </row>
    <row r="39" customFormat="false" ht="15" hidden="false" customHeight="false" outlineLevel="0" collapsed="false">
      <c r="A39" s="36" t="str">
        <f aca="false">IF(27&lt;=$B$6,27,"")</f>
        <v/>
      </c>
      <c r="B39" s="24" t="str">
        <f aca="false">IF(A39="","",SUMIF($H$13:$H$372,A39,$L$13:$L$372))</f>
        <v/>
      </c>
      <c r="C39" s="24" t="str">
        <f aca="false">IF(A39="","",SUMIF($H$13:$H$372,A39,$K$13:$K$372))</f>
        <v/>
      </c>
      <c r="D39" s="24" t="str">
        <f aca="false">IF(A39="","",INDEX($M$13:$M$372,A39*12))</f>
        <v/>
      </c>
      <c r="G39" s="37" t="n">
        <f aca="false">IF(27&lt;=$B$6*12,27,"")</f>
        <v>27</v>
      </c>
      <c r="H39" s="37" t="n">
        <f aca="false">IF(G39="","",ROUNDUP(G39/12,0))</f>
        <v>3</v>
      </c>
      <c r="I39" s="14" t="n">
        <f aca="false">IF(G39="","",M38)</f>
        <v>4798127.5404781</v>
      </c>
      <c r="J39" s="14" t="n">
        <f aca="false">IF(G39="","",$E$5)</f>
        <v>46606.5593916759</v>
      </c>
      <c r="K39" s="14" t="n">
        <f aca="false">IF(G39="","",I39*$E$4/12)</f>
        <v>37985.1763621183</v>
      </c>
      <c r="L39" s="14" t="n">
        <f aca="false">IF(G39="","",J39-K39)</f>
        <v>8621.3830295576</v>
      </c>
      <c r="M39" s="14" t="n">
        <f aca="false">IF(G39="","",MAX(0,I39-L39))</f>
        <v>4789506.15744854</v>
      </c>
      <c r="N39" s="14"/>
    </row>
    <row r="40" customFormat="false" ht="15" hidden="false" customHeight="false" outlineLevel="0" collapsed="false">
      <c r="A40" s="36" t="str">
        <f aca="false">IF(28&lt;=$B$6,28,"")</f>
        <v/>
      </c>
      <c r="B40" s="24" t="str">
        <f aca="false">IF(A40="","",SUMIF($H$13:$H$372,A40,$L$13:$L$372))</f>
        <v/>
      </c>
      <c r="C40" s="24" t="str">
        <f aca="false">IF(A40="","",SUMIF($H$13:$H$372,A40,$K$13:$K$372))</f>
        <v/>
      </c>
      <c r="D40" s="24" t="str">
        <f aca="false">IF(A40="","",INDEX($M$13:$M$372,A40*12))</f>
        <v/>
      </c>
      <c r="G40" s="37" t="n">
        <f aca="false">IF(28&lt;=$B$6*12,28,"")</f>
        <v>28</v>
      </c>
      <c r="H40" s="37" t="n">
        <f aca="false">IF(G40="","",ROUNDUP(G40/12,0))</f>
        <v>3</v>
      </c>
      <c r="I40" s="14" t="n">
        <f aca="false">IF(G40="","",M39)</f>
        <v>4789506.15744854</v>
      </c>
      <c r="J40" s="14" t="n">
        <f aca="false">IF(G40="","",$E$5)</f>
        <v>46606.5593916759</v>
      </c>
      <c r="K40" s="14" t="n">
        <f aca="false">IF(G40="","",I40*$E$4/12)</f>
        <v>37916.9237464676</v>
      </c>
      <c r="L40" s="14" t="n">
        <f aca="false">IF(G40="","",J40-K40)</f>
        <v>8689.63564520827</v>
      </c>
      <c r="M40" s="14" t="n">
        <f aca="false">IF(G40="","",MAX(0,I40-L40))</f>
        <v>4780816.52180334</v>
      </c>
      <c r="N40" s="14"/>
    </row>
    <row r="41" customFormat="false" ht="15" hidden="false" customHeight="false" outlineLevel="0" collapsed="false">
      <c r="A41" s="36" t="str">
        <f aca="false">IF(29&lt;=$B$6,29,"")</f>
        <v/>
      </c>
      <c r="B41" s="24" t="str">
        <f aca="false">IF(A41="","",SUMIF($H$13:$H$372,A41,$L$13:$L$372))</f>
        <v/>
      </c>
      <c r="C41" s="24" t="str">
        <f aca="false">IF(A41="","",SUMIF($H$13:$H$372,A41,$K$13:$K$372))</f>
        <v/>
      </c>
      <c r="D41" s="24" t="str">
        <f aca="false">IF(A41="","",INDEX($M$13:$M$372,A41*12))</f>
        <v/>
      </c>
      <c r="G41" s="37" t="n">
        <f aca="false">IF(29&lt;=$B$6*12,29,"")</f>
        <v>29</v>
      </c>
      <c r="H41" s="37" t="n">
        <f aca="false">IF(G41="","",ROUNDUP(G41/12,0))</f>
        <v>3</v>
      </c>
      <c r="I41" s="14" t="n">
        <f aca="false">IF(G41="","",M40)</f>
        <v>4780816.52180334</v>
      </c>
      <c r="J41" s="14" t="n">
        <f aca="false">IF(G41="","",$E$5)</f>
        <v>46606.5593916759</v>
      </c>
      <c r="K41" s="14" t="n">
        <f aca="false">IF(G41="","",I41*$E$4/12)</f>
        <v>37848.1307976097</v>
      </c>
      <c r="L41" s="14" t="n">
        <f aca="false">IF(G41="","",J41-K41)</f>
        <v>8758.42859406617</v>
      </c>
      <c r="M41" s="14" t="n">
        <f aca="false">IF(G41="","",MAX(0,I41-L41))</f>
        <v>4772058.09320927</v>
      </c>
      <c r="N41" s="14"/>
    </row>
    <row r="42" customFormat="false" ht="15" hidden="false" customHeight="false" outlineLevel="0" collapsed="false">
      <c r="A42" s="36" t="str">
        <f aca="false">IF(30&lt;=$B$6,30,"")</f>
        <v/>
      </c>
      <c r="B42" s="24" t="str">
        <f aca="false">IF(A42="","",SUMIF($H$13:$H$372,A42,$L$13:$L$372))</f>
        <v/>
      </c>
      <c r="C42" s="24" t="str">
        <f aca="false">IF(A42="","",SUMIF($H$13:$H$372,A42,$K$13:$K$372))</f>
        <v/>
      </c>
      <c r="D42" s="24" t="str">
        <f aca="false">IF(A42="","",INDEX($M$13:$M$372,A42*12))</f>
        <v/>
      </c>
      <c r="G42" s="37" t="n">
        <f aca="false">IF(30&lt;=$B$6*12,30,"")</f>
        <v>30</v>
      </c>
      <c r="H42" s="37" t="n">
        <f aca="false">IF(G42="","",ROUNDUP(G42/12,0))</f>
        <v>3</v>
      </c>
      <c r="I42" s="14" t="n">
        <f aca="false">IF(G42="","",M41)</f>
        <v>4772058.09320927</v>
      </c>
      <c r="J42" s="14" t="n">
        <f aca="false">IF(G42="","",$E$5)</f>
        <v>46606.5593916759</v>
      </c>
      <c r="K42" s="14" t="n">
        <f aca="false">IF(G42="","",I42*$E$4/12)</f>
        <v>37778.7932379067</v>
      </c>
      <c r="L42" s="14" t="n">
        <f aca="false">IF(G42="","",J42-K42)</f>
        <v>8827.76615376919</v>
      </c>
      <c r="M42" s="14" t="n">
        <f aca="false">IF(G42="","",MAX(0,I42-L42))</f>
        <v>4763230.3270555</v>
      </c>
      <c r="N42" s="14"/>
    </row>
    <row r="43" customFormat="false" ht="15" hidden="false" customHeight="false" outlineLevel="0" collapsed="false">
      <c r="G43" s="37" t="n">
        <f aca="false">IF(31&lt;=$B$6*12,31,"")</f>
        <v>31</v>
      </c>
      <c r="H43" s="37" t="n">
        <f aca="false">IF(G43="","",ROUNDUP(G43/12,0))</f>
        <v>3</v>
      </c>
      <c r="I43" s="14" t="n">
        <f aca="false">IF(G43="","",M42)</f>
        <v>4763230.3270555</v>
      </c>
      <c r="J43" s="14" t="n">
        <f aca="false">IF(G43="","",$E$5)</f>
        <v>46606.5593916759</v>
      </c>
      <c r="K43" s="14" t="n">
        <f aca="false">IF(G43="","",I43*$E$4/12)</f>
        <v>37708.906755856</v>
      </c>
      <c r="L43" s="14" t="n">
        <f aca="false">IF(G43="","",J43-K43)</f>
        <v>8897.65263581986</v>
      </c>
      <c r="M43" s="14" t="n">
        <f aca="false">IF(G43="","",MAX(0,I43-L43))</f>
        <v>4754332.67441968</v>
      </c>
      <c r="N43" s="14"/>
    </row>
    <row r="44" customFormat="false" ht="15" hidden="false" customHeight="false" outlineLevel="0" collapsed="false">
      <c r="A44" s="2" t="s">
        <v>341</v>
      </c>
      <c r="D44" s="38" t="n">
        <f aca="false">ROUND(SUM(B13:B42)-B5,0)</f>
        <v>0</v>
      </c>
      <c r="G44" s="37" t="n">
        <f aca="false">IF(32&lt;=$B$6*12,32,"")</f>
        <v>32</v>
      </c>
      <c r="H44" s="37" t="n">
        <f aca="false">IF(G44="","",ROUNDUP(G44/12,0))</f>
        <v>3</v>
      </c>
      <c r="I44" s="14" t="n">
        <f aca="false">IF(G44="","",M43)</f>
        <v>4754332.67441968</v>
      </c>
      <c r="J44" s="14" t="n">
        <f aca="false">IF(G44="","",$E$5)</f>
        <v>46606.5593916759</v>
      </c>
      <c r="K44" s="14" t="n">
        <f aca="false">IF(G44="","",I44*$E$4/12)</f>
        <v>37638.4670058225</v>
      </c>
      <c r="L44" s="14" t="n">
        <f aca="false">IF(G44="","",J44-K44)</f>
        <v>8968.09238585344</v>
      </c>
      <c r="M44" s="14" t="n">
        <f aca="false">IF(G44="","",MAX(0,I44-L44))</f>
        <v>4745364.58203383</v>
      </c>
      <c r="N44" s="14"/>
    </row>
    <row r="45" customFormat="false" ht="15" hidden="false" customHeight="false" outlineLevel="0" collapsed="false">
      <c r="G45" s="37" t="n">
        <f aca="false">IF(33&lt;=$B$6*12,33,"")</f>
        <v>33</v>
      </c>
      <c r="H45" s="37" t="n">
        <f aca="false">IF(G45="","",ROUNDUP(G45/12,0))</f>
        <v>3</v>
      </c>
      <c r="I45" s="14" t="n">
        <f aca="false">IF(G45="","",M44)</f>
        <v>4745364.58203383</v>
      </c>
      <c r="J45" s="14" t="n">
        <f aca="false">IF(G45="","",$E$5)</f>
        <v>46606.5593916759</v>
      </c>
      <c r="K45" s="14" t="n">
        <f aca="false">IF(G45="","",I45*$E$4/12)</f>
        <v>37567.4696077678</v>
      </c>
      <c r="L45" s="14" t="n">
        <f aca="false">IF(G45="","",J45-K45)</f>
        <v>9039.08978390812</v>
      </c>
      <c r="M45" s="14" t="n">
        <f aca="false">IF(G45="","",MAX(0,I45-L45))</f>
        <v>4736325.49224992</v>
      </c>
      <c r="N45" s="14"/>
    </row>
    <row r="46" customFormat="false" ht="15" hidden="false" customHeight="false" outlineLevel="0" collapsed="false">
      <c r="G46" s="37" t="n">
        <f aca="false">IF(34&lt;=$B$6*12,34,"")</f>
        <v>34</v>
      </c>
      <c r="H46" s="37" t="n">
        <f aca="false">IF(G46="","",ROUNDUP(G46/12,0))</f>
        <v>3</v>
      </c>
      <c r="I46" s="14" t="n">
        <f aca="false">IF(G46="","",M45)</f>
        <v>4736325.49224992</v>
      </c>
      <c r="J46" s="14" t="n">
        <f aca="false">IF(G46="","",$E$5)</f>
        <v>46606.5593916759</v>
      </c>
      <c r="K46" s="14" t="n">
        <f aca="false">IF(G46="","",I46*$E$4/12)</f>
        <v>37495.9101469785</v>
      </c>
      <c r="L46" s="14" t="n">
        <f aca="false">IF(G46="","",J46-K46)</f>
        <v>9110.64924469739</v>
      </c>
      <c r="M46" s="14" t="n">
        <f aca="false">IF(G46="","",MAX(0,I46-L46))</f>
        <v>4727214.84300522</v>
      </c>
      <c r="N46" s="14"/>
    </row>
    <row r="47" customFormat="false" ht="15" hidden="false" customHeight="false" outlineLevel="0" collapsed="false">
      <c r="G47" s="37" t="n">
        <f aca="false">IF(35&lt;=$B$6*12,35,"")</f>
        <v>35</v>
      </c>
      <c r="H47" s="37" t="n">
        <f aca="false">IF(G47="","",ROUNDUP(G47/12,0))</f>
        <v>3</v>
      </c>
      <c r="I47" s="14" t="n">
        <f aca="false">IF(G47="","",M46)</f>
        <v>4727214.84300522</v>
      </c>
      <c r="J47" s="14" t="n">
        <f aca="false">IF(G47="","",$E$5)</f>
        <v>46606.5593916759</v>
      </c>
      <c r="K47" s="14" t="n">
        <f aca="false">IF(G47="","",I47*$E$4/12)</f>
        <v>37423.7841737913</v>
      </c>
      <c r="L47" s="14" t="n">
        <f aca="false">IF(G47="","",J47-K47)</f>
        <v>9182.77521788457</v>
      </c>
      <c r="M47" s="14" t="n">
        <f aca="false">IF(G47="","",MAX(0,I47-L47))</f>
        <v>4718032.06778734</v>
      </c>
      <c r="N47" s="14"/>
    </row>
    <row r="48" customFormat="false" ht="15" hidden="false" customHeight="false" outlineLevel="0" collapsed="false">
      <c r="G48" s="37" t="n">
        <f aca="false">IF(36&lt;=$B$6*12,36,"")</f>
        <v>36</v>
      </c>
      <c r="H48" s="37" t="n">
        <f aca="false">IF(G48="","",ROUNDUP(G48/12,0))</f>
        <v>3</v>
      </c>
      <c r="I48" s="14" t="n">
        <f aca="false">IF(G48="","",M47)</f>
        <v>4718032.06778734</v>
      </c>
      <c r="J48" s="14" t="n">
        <f aca="false">IF(G48="","",$E$5)</f>
        <v>46606.5593916759</v>
      </c>
      <c r="K48" s="14" t="n">
        <f aca="false">IF(G48="","",I48*$E$4/12)</f>
        <v>37351.0872033164</v>
      </c>
      <c r="L48" s="14" t="n">
        <f aca="false">IF(G48="","",J48-K48)</f>
        <v>9255.47218835949</v>
      </c>
      <c r="M48" s="14" t="n">
        <f aca="false">IF(G48="","",MAX(0,I48-L48))</f>
        <v>4708776.59559898</v>
      </c>
      <c r="N48" s="14"/>
    </row>
    <row r="49" customFormat="false" ht="15" hidden="false" customHeight="false" outlineLevel="0" collapsed="false">
      <c r="G49" s="37" t="n">
        <f aca="false">IF(37&lt;=$B$6*12,37,"")</f>
        <v>37</v>
      </c>
      <c r="H49" s="37" t="n">
        <f aca="false">IF(G49="","",ROUNDUP(G49/12,0))</f>
        <v>4</v>
      </c>
      <c r="I49" s="14" t="n">
        <f aca="false">IF(G49="","",M48)</f>
        <v>4708776.59559898</v>
      </c>
      <c r="J49" s="14" t="n">
        <f aca="false">IF(G49="","",$E$5)</f>
        <v>46606.5593916759</v>
      </c>
      <c r="K49" s="14" t="n">
        <f aca="false">IF(G49="","",I49*$E$4/12)</f>
        <v>37277.8147151586</v>
      </c>
      <c r="L49" s="14" t="n">
        <f aca="false">IF(G49="","",J49-K49)</f>
        <v>9328.74467651734</v>
      </c>
      <c r="M49" s="14" t="n">
        <f aca="false">IF(G49="","",MAX(0,I49-L49))</f>
        <v>4699447.85092246</v>
      </c>
      <c r="N49" s="14"/>
    </row>
    <row r="50" customFormat="false" ht="15" hidden="false" customHeight="false" outlineLevel="0" collapsed="false">
      <c r="G50" s="37" t="n">
        <f aca="false">IF(38&lt;=$B$6*12,38,"")</f>
        <v>38</v>
      </c>
      <c r="H50" s="37" t="n">
        <f aca="false">IF(G50="","",ROUNDUP(G50/12,0))</f>
        <v>4</v>
      </c>
      <c r="I50" s="14" t="n">
        <f aca="false">IF(G50="","",M49)</f>
        <v>4699447.85092246</v>
      </c>
      <c r="J50" s="14" t="n">
        <f aca="false">IF(G50="","",$E$5)</f>
        <v>46606.5593916759</v>
      </c>
      <c r="K50" s="14" t="n">
        <f aca="false">IF(G50="","",I50*$E$4/12)</f>
        <v>37203.9621531361</v>
      </c>
      <c r="L50" s="14" t="n">
        <f aca="false">IF(G50="","",J50-K50)</f>
        <v>9402.59723853976</v>
      </c>
      <c r="M50" s="14" t="n">
        <f aca="false">IF(G50="","",MAX(0,I50-L50))</f>
        <v>4690045.25368392</v>
      </c>
      <c r="N50" s="14"/>
    </row>
    <row r="51" customFormat="false" ht="15" hidden="false" customHeight="false" outlineLevel="0" collapsed="false">
      <c r="G51" s="37" t="n">
        <f aca="false">IF(39&lt;=$B$6*12,39,"")</f>
        <v>39</v>
      </c>
      <c r="H51" s="37" t="n">
        <f aca="false">IF(G51="","",ROUNDUP(G51/12,0))</f>
        <v>4</v>
      </c>
      <c r="I51" s="14" t="n">
        <f aca="false">IF(G51="","",M50)</f>
        <v>4690045.25368392</v>
      </c>
      <c r="J51" s="14" t="n">
        <f aca="false">IF(G51="","",$E$5)</f>
        <v>46606.5593916759</v>
      </c>
      <c r="K51" s="14" t="n">
        <f aca="false">IF(G51="","",I51*$E$4/12)</f>
        <v>37129.5249249977</v>
      </c>
      <c r="L51" s="14" t="n">
        <f aca="false">IF(G51="","",J51-K51)</f>
        <v>9477.0344666782</v>
      </c>
      <c r="M51" s="14" t="n">
        <f aca="false">IF(G51="","",MAX(0,I51-L51))</f>
        <v>4680568.21921724</v>
      </c>
      <c r="N51" s="14"/>
    </row>
    <row r="52" customFormat="false" ht="15" hidden="false" customHeight="false" outlineLevel="0" collapsed="false">
      <c r="G52" s="37" t="n">
        <f aca="false">IF(40&lt;=$B$6*12,40,"")</f>
        <v>40</v>
      </c>
      <c r="H52" s="37" t="n">
        <f aca="false">IF(G52="","",ROUNDUP(G52/12,0))</f>
        <v>4</v>
      </c>
      <c r="I52" s="14" t="n">
        <f aca="false">IF(G52="","",M51)</f>
        <v>4680568.21921724</v>
      </c>
      <c r="J52" s="14" t="n">
        <f aca="false">IF(G52="","",$E$5)</f>
        <v>46606.5593916759</v>
      </c>
      <c r="K52" s="14" t="n">
        <f aca="false">IF(G52="","",I52*$E$4/12)</f>
        <v>37054.4984021365</v>
      </c>
      <c r="L52" s="14" t="n">
        <f aca="false">IF(G52="","",J52-K52)</f>
        <v>9552.0609895394</v>
      </c>
      <c r="M52" s="14" t="n">
        <f aca="false">IF(G52="","",MAX(0,I52-L52))</f>
        <v>4671016.1582277</v>
      </c>
      <c r="N52" s="14"/>
    </row>
    <row r="53" customFormat="false" ht="15" hidden="false" customHeight="false" outlineLevel="0" collapsed="false">
      <c r="G53" s="37" t="n">
        <f aca="false">IF(41&lt;=$B$6*12,41,"")</f>
        <v>41</v>
      </c>
      <c r="H53" s="37" t="n">
        <f aca="false">IF(G53="","",ROUNDUP(G53/12,0))</f>
        <v>4</v>
      </c>
      <c r="I53" s="14" t="n">
        <f aca="false">IF(G53="","",M52)</f>
        <v>4671016.1582277</v>
      </c>
      <c r="J53" s="14" t="n">
        <f aca="false">IF(G53="","",$E$5)</f>
        <v>46606.5593916759</v>
      </c>
      <c r="K53" s="14" t="n">
        <f aca="false">IF(G53="","",I53*$E$4/12)</f>
        <v>36978.8779193027</v>
      </c>
      <c r="L53" s="14" t="n">
        <f aca="false">IF(G53="","",J53-K53)</f>
        <v>9627.68147237325</v>
      </c>
      <c r="M53" s="14" t="n">
        <f aca="false">IF(G53="","",MAX(0,I53-L53))</f>
        <v>4661388.47675533</v>
      </c>
      <c r="N53" s="14"/>
    </row>
    <row r="54" customFormat="false" ht="15" hidden="false" customHeight="false" outlineLevel="0" collapsed="false">
      <c r="G54" s="37" t="n">
        <f aca="false">IF(42&lt;=$B$6*12,42,"")</f>
        <v>42</v>
      </c>
      <c r="H54" s="37" t="n">
        <f aca="false">IF(G54="","",ROUNDUP(G54/12,0))</f>
        <v>4</v>
      </c>
      <c r="I54" s="14" t="n">
        <f aca="false">IF(G54="","",M53)</f>
        <v>4661388.47675533</v>
      </c>
      <c r="J54" s="14" t="n">
        <f aca="false">IF(G54="","",$E$5)</f>
        <v>46606.5593916759</v>
      </c>
      <c r="K54" s="14" t="n">
        <f aca="false">IF(G54="","",I54*$E$4/12)</f>
        <v>36902.658774313</v>
      </c>
      <c r="L54" s="14" t="n">
        <f aca="false">IF(G54="","",J54-K54)</f>
        <v>9703.90061736287</v>
      </c>
      <c r="M54" s="14" t="n">
        <f aca="false">IF(G54="","",MAX(0,I54-L54))</f>
        <v>4651684.57613797</v>
      </c>
      <c r="N54" s="14"/>
    </row>
    <row r="55" customFormat="false" ht="15" hidden="false" customHeight="false" outlineLevel="0" collapsed="false">
      <c r="G55" s="37" t="n">
        <f aca="false">IF(43&lt;=$B$6*12,43,"")</f>
        <v>43</v>
      </c>
      <c r="H55" s="37" t="n">
        <f aca="false">IF(G55="","",ROUNDUP(G55/12,0))</f>
        <v>4</v>
      </c>
      <c r="I55" s="14" t="n">
        <f aca="false">IF(G55="","",M54)</f>
        <v>4651684.57613797</v>
      </c>
      <c r="J55" s="14" t="n">
        <f aca="false">IF(G55="","",$E$5)</f>
        <v>46606.5593916759</v>
      </c>
      <c r="K55" s="14" t="n">
        <f aca="false">IF(G55="","",I55*$E$4/12)</f>
        <v>36825.8362277589</v>
      </c>
      <c r="L55" s="14" t="n">
        <f aca="false">IF(G55="","",J55-K55)</f>
        <v>9780.723163917</v>
      </c>
      <c r="M55" s="14" t="n">
        <f aca="false">IF(G55="","",MAX(0,I55-L55))</f>
        <v>4641903.85297405</v>
      </c>
      <c r="N55" s="14"/>
    </row>
    <row r="56" customFormat="false" ht="15" hidden="false" customHeight="false" outlineLevel="0" collapsed="false">
      <c r="G56" s="37" t="n">
        <f aca="false">IF(44&lt;=$B$6*12,44,"")</f>
        <v>44</v>
      </c>
      <c r="H56" s="37" t="n">
        <f aca="false">IF(G56="","",ROUNDUP(G56/12,0))</f>
        <v>4</v>
      </c>
      <c r="I56" s="14" t="n">
        <f aca="false">IF(G56="","",M55)</f>
        <v>4641903.85297405</v>
      </c>
      <c r="J56" s="14" t="n">
        <f aca="false">IF(G56="","",$E$5)</f>
        <v>46606.5593916759</v>
      </c>
      <c r="K56" s="14" t="n">
        <f aca="false">IF(G56="","",I56*$E$4/12)</f>
        <v>36748.4055027112</v>
      </c>
      <c r="L56" s="14" t="n">
        <f aca="false">IF(G56="","",J56-K56)</f>
        <v>9858.15388896468</v>
      </c>
      <c r="M56" s="14" t="n">
        <f aca="false">IF(G56="","",MAX(0,I56-L56))</f>
        <v>4632045.69908509</v>
      </c>
      <c r="N56" s="14"/>
    </row>
    <row r="57" customFormat="false" ht="15" hidden="false" customHeight="false" outlineLevel="0" collapsed="false">
      <c r="G57" s="37" t="n">
        <f aca="false">IF(45&lt;=$B$6*12,45,"")</f>
        <v>45</v>
      </c>
      <c r="H57" s="37" t="n">
        <f aca="false">IF(G57="","",ROUNDUP(G57/12,0))</f>
        <v>4</v>
      </c>
      <c r="I57" s="14" t="n">
        <f aca="false">IF(G57="","",M56)</f>
        <v>4632045.69908509</v>
      </c>
      <c r="J57" s="14" t="n">
        <f aca="false">IF(G57="","",$E$5)</f>
        <v>46606.5593916759</v>
      </c>
      <c r="K57" s="14" t="n">
        <f aca="false">IF(G57="","",I57*$E$4/12)</f>
        <v>36670.3617844236</v>
      </c>
      <c r="L57" s="14" t="n">
        <f aca="false">IF(G57="","",J57-K57)</f>
        <v>9936.19760725231</v>
      </c>
      <c r="M57" s="14" t="n">
        <f aca="false">IF(G57="","",MAX(0,I57-L57))</f>
        <v>4622109.50147783</v>
      </c>
      <c r="N57" s="14"/>
    </row>
    <row r="58" customFormat="false" ht="15" hidden="false" customHeight="false" outlineLevel="0" collapsed="false">
      <c r="G58" s="37" t="n">
        <f aca="false">IF(46&lt;=$B$6*12,46,"")</f>
        <v>46</v>
      </c>
      <c r="H58" s="37" t="n">
        <f aca="false">IF(G58="","",ROUNDUP(G58/12,0))</f>
        <v>4</v>
      </c>
      <c r="I58" s="14" t="n">
        <f aca="false">IF(G58="","",M57)</f>
        <v>4622109.50147783</v>
      </c>
      <c r="J58" s="14" t="n">
        <f aca="false">IF(G58="","",$E$5)</f>
        <v>46606.5593916759</v>
      </c>
      <c r="K58" s="14" t="n">
        <f aca="false">IF(G58="","",I58*$E$4/12)</f>
        <v>36591.7002200328</v>
      </c>
      <c r="L58" s="14" t="n">
        <f aca="false">IF(G58="","",J58-K58)</f>
        <v>10014.8591716431</v>
      </c>
      <c r="M58" s="14" t="n">
        <f aca="false">IF(G58="","",MAX(0,I58-L58))</f>
        <v>4612094.64230619</v>
      </c>
      <c r="N58" s="14"/>
    </row>
    <row r="59" customFormat="false" ht="15" hidden="false" customHeight="false" outlineLevel="0" collapsed="false">
      <c r="G59" s="37" t="n">
        <f aca="false">IF(47&lt;=$B$6*12,47,"")</f>
        <v>47</v>
      </c>
      <c r="H59" s="37" t="n">
        <f aca="false">IF(G59="","",ROUNDUP(G59/12,0))</f>
        <v>4</v>
      </c>
      <c r="I59" s="14" t="n">
        <f aca="false">IF(G59="","",M58)</f>
        <v>4612094.64230619</v>
      </c>
      <c r="J59" s="14" t="n">
        <f aca="false">IF(G59="","",$E$5)</f>
        <v>46606.5593916759</v>
      </c>
      <c r="K59" s="14" t="n">
        <f aca="false">IF(G59="","",I59*$E$4/12)</f>
        <v>36512.4159182573</v>
      </c>
      <c r="L59" s="14" t="n">
        <f aca="false">IF(G59="","",J59-K59)</f>
        <v>10094.1434734186</v>
      </c>
      <c r="M59" s="14" t="n">
        <f aca="false">IF(G59="","",MAX(0,I59-L59))</f>
        <v>4602000.49883277</v>
      </c>
      <c r="N59" s="14"/>
    </row>
    <row r="60" customFormat="false" ht="15" hidden="false" customHeight="false" outlineLevel="0" collapsed="false">
      <c r="G60" s="37" t="n">
        <f aca="false">IF(48&lt;=$B$6*12,48,"")</f>
        <v>48</v>
      </c>
      <c r="H60" s="37" t="n">
        <f aca="false">IF(G60="","",ROUNDUP(G60/12,0))</f>
        <v>4</v>
      </c>
      <c r="I60" s="14" t="n">
        <f aca="false">IF(G60="","",M59)</f>
        <v>4602000.49883277</v>
      </c>
      <c r="J60" s="14" t="n">
        <f aca="false">IF(G60="","",$E$5)</f>
        <v>46606.5593916759</v>
      </c>
      <c r="K60" s="14" t="n">
        <f aca="false">IF(G60="","",I60*$E$4/12)</f>
        <v>36432.5039490928</v>
      </c>
      <c r="L60" s="14" t="n">
        <f aca="false">IF(G60="","",J60-K60)</f>
        <v>10174.0554425831</v>
      </c>
      <c r="M60" s="14" t="n">
        <f aca="false">IF(G60="","",MAX(0,I60-L60))</f>
        <v>4591826.44339019</v>
      </c>
      <c r="N60" s="14"/>
    </row>
    <row r="61" customFormat="false" ht="15" hidden="false" customHeight="false" outlineLevel="0" collapsed="false">
      <c r="G61" s="37" t="n">
        <f aca="false">IF(49&lt;=$B$6*12,49,"")</f>
        <v>49</v>
      </c>
      <c r="H61" s="37" t="n">
        <f aca="false">IF(G61="","",ROUNDUP(G61/12,0))</f>
        <v>5</v>
      </c>
      <c r="I61" s="14" t="n">
        <f aca="false">IF(G61="","",M60)</f>
        <v>4591826.44339019</v>
      </c>
      <c r="J61" s="14" t="n">
        <f aca="false">IF(G61="","",$E$5)</f>
        <v>46606.5593916759</v>
      </c>
      <c r="K61" s="14" t="n">
        <f aca="false">IF(G61="","",I61*$E$4/12)</f>
        <v>36351.9593435057</v>
      </c>
      <c r="L61" s="14" t="n">
        <f aca="false">IF(G61="","",J61-K61)</f>
        <v>10254.6000481703</v>
      </c>
      <c r="M61" s="14" t="n">
        <f aca="false">IF(G61="","",MAX(0,I61-L61))</f>
        <v>4581571.84334202</v>
      </c>
      <c r="N61" s="14"/>
    </row>
    <row r="62" customFormat="false" ht="15" hidden="false" customHeight="false" outlineLevel="0" collapsed="false">
      <c r="G62" s="37" t="n">
        <f aca="false">IF(50&lt;=$B$6*12,50,"")</f>
        <v>50</v>
      </c>
      <c r="H62" s="37" t="n">
        <f aca="false">IF(G62="","",ROUNDUP(G62/12,0))</f>
        <v>5</v>
      </c>
      <c r="I62" s="14" t="n">
        <f aca="false">IF(G62="","",M61)</f>
        <v>4581571.84334202</v>
      </c>
      <c r="J62" s="14" t="n">
        <f aca="false">IF(G62="","",$E$5)</f>
        <v>46606.5593916759</v>
      </c>
      <c r="K62" s="14" t="n">
        <f aca="false">IF(G62="","",I62*$E$4/12)</f>
        <v>36270.7770931243</v>
      </c>
      <c r="L62" s="14" t="n">
        <f aca="false">IF(G62="","",J62-K62)</f>
        <v>10335.7822985516</v>
      </c>
      <c r="M62" s="14" t="n">
        <f aca="false">IF(G62="","",MAX(0,I62-L62))</f>
        <v>4571236.06104347</v>
      </c>
      <c r="N62" s="14"/>
    </row>
    <row r="63" customFormat="false" ht="15" hidden="false" customHeight="false" outlineLevel="0" collapsed="false">
      <c r="G63" s="37" t="n">
        <f aca="false">IF(51&lt;=$B$6*12,51,"")</f>
        <v>51</v>
      </c>
      <c r="H63" s="37" t="n">
        <f aca="false">IF(G63="","",ROUNDUP(G63/12,0))</f>
        <v>5</v>
      </c>
      <c r="I63" s="14" t="n">
        <f aca="false">IF(G63="","",M62)</f>
        <v>4571236.06104347</v>
      </c>
      <c r="J63" s="14" t="n">
        <f aca="false">IF(G63="","",$E$5)</f>
        <v>46606.5593916759</v>
      </c>
      <c r="K63" s="14" t="n">
        <f aca="false">IF(G63="","",I63*$E$4/12)</f>
        <v>36188.9521499274</v>
      </c>
      <c r="L63" s="14" t="n">
        <f aca="false">IF(G63="","",J63-K63)</f>
        <v>10417.6072417485</v>
      </c>
      <c r="M63" s="14" t="n">
        <f aca="false">IF(G63="","",MAX(0,I63-L63))</f>
        <v>4560818.45380172</v>
      </c>
      <c r="N63" s="14"/>
    </row>
    <row r="64" customFormat="false" ht="15" hidden="false" customHeight="false" outlineLevel="0" collapsed="false">
      <c r="G64" s="37" t="n">
        <f aca="false">IF(52&lt;=$B$6*12,52,"")</f>
        <v>52</v>
      </c>
      <c r="H64" s="37" t="n">
        <f aca="false">IF(G64="","",ROUNDUP(G64/12,0))</f>
        <v>5</v>
      </c>
      <c r="I64" s="14" t="n">
        <f aca="false">IF(G64="","",M63)</f>
        <v>4560818.45380172</v>
      </c>
      <c r="J64" s="14" t="n">
        <f aca="false">IF(G64="","",$E$5)</f>
        <v>46606.5593916759</v>
      </c>
      <c r="K64" s="14" t="n">
        <f aca="false">IF(G64="","",I64*$E$4/12)</f>
        <v>36106.4794259303</v>
      </c>
      <c r="L64" s="14" t="n">
        <f aca="false">IF(G64="","",J64-K64)</f>
        <v>10500.0799657456</v>
      </c>
      <c r="M64" s="14" t="n">
        <f aca="false">IF(G64="","",MAX(0,I64-L64))</f>
        <v>4550318.37383597</v>
      </c>
      <c r="N64" s="14"/>
    </row>
    <row r="65" customFormat="false" ht="15" hidden="false" customHeight="false" outlineLevel="0" collapsed="false">
      <c r="G65" s="37" t="n">
        <f aca="false">IF(53&lt;=$B$6*12,53,"")</f>
        <v>53</v>
      </c>
      <c r="H65" s="37" t="n">
        <f aca="false">IF(G65="","",ROUNDUP(G65/12,0))</f>
        <v>5</v>
      </c>
      <c r="I65" s="14" t="n">
        <f aca="false">IF(G65="","",M64)</f>
        <v>4550318.37383597</v>
      </c>
      <c r="J65" s="14" t="n">
        <f aca="false">IF(G65="","",$E$5)</f>
        <v>46606.5593916759</v>
      </c>
      <c r="K65" s="14" t="n">
        <f aca="false">IF(G65="","",I65*$E$4/12)</f>
        <v>36023.3537928681</v>
      </c>
      <c r="L65" s="14" t="n">
        <f aca="false">IF(G65="","",J65-K65)</f>
        <v>10583.2055988078</v>
      </c>
      <c r="M65" s="14" t="n">
        <f aca="false">IF(G65="","",MAX(0,I65-L65))</f>
        <v>4539735.16823716</v>
      </c>
      <c r="N65" s="14"/>
    </row>
    <row r="66" customFormat="false" ht="15" hidden="false" customHeight="false" outlineLevel="0" collapsed="false">
      <c r="G66" s="37" t="n">
        <f aca="false">IF(54&lt;=$B$6*12,54,"")</f>
        <v>54</v>
      </c>
      <c r="H66" s="37" t="n">
        <f aca="false">IF(G66="","",ROUNDUP(G66/12,0))</f>
        <v>5</v>
      </c>
      <c r="I66" s="14" t="n">
        <f aca="false">IF(G66="","",M65)</f>
        <v>4539735.16823716</v>
      </c>
      <c r="J66" s="14" t="n">
        <f aca="false">IF(G66="","",$E$5)</f>
        <v>46606.5593916759</v>
      </c>
      <c r="K66" s="14" t="n">
        <f aca="false">IF(G66="","",I66*$E$4/12)</f>
        <v>35939.5700818775</v>
      </c>
      <c r="L66" s="14" t="n">
        <f aca="false">IF(G66="","",J66-K66)</f>
        <v>10666.9893097984</v>
      </c>
      <c r="M66" s="14" t="n">
        <f aca="false">IF(G66="","",MAX(0,I66-L66))</f>
        <v>4529068.17892737</v>
      </c>
      <c r="N66" s="14"/>
    </row>
    <row r="67" customFormat="false" ht="15" hidden="false" customHeight="false" outlineLevel="0" collapsed="false">
      <c r="G67" s="37" t="n">
        <f aca="false">IF(55&lt;=$B$6*12,55,"")</f>
        <v>55</v>
      </c>
      <c r="H67" s="37" t="n">
        <f aca="false">IF(G67="","",ROUNDUP(G67/12,0))</f>
        <v>5</v>
      </c>
      <c r="I67" s="14" t="n">
        <f aca="false">IF(G67="","",M66)</f>
        <v>4529068.17892737</v>
      </c>
      <c r="J67" s="14" t="n">
        <f aca="false">IF(G67="","",$E$5)</f>
        <v>46606.5593916759</v>
      </c>
      <c r="K67" s="14" t="n">
        <f aca="false">IF(G67="","",I67*$E$4/12)</f>
        <v>35855.123083175</v>
      </c>
      <c r="L67" s="14" t="n">
        <f aca="false">IF(G67="","",J67-K67)</f>
        <v>10751.4363085009</v>
      </c>
      <c r="M67" s="14" t="n">
        <f aca="false">IF(G67="","",MAX(0,I67-L67))</f>
        <v>4518316.74261886</v>
      </c>
      <c r="N67" s="14"/>
    </row>
    <row r="68" customFormat="false" ht="15" hidden="false" customHeight="false" outlineLevel="0" collapsed="false">
      <c r="G68" s="37" t="n">
        <f aca="false">IF(56&lt;=$B$6*12,56,"")</f>
        <v>56</v>
      </c>
      <c r="H68" s="37" t="n">
        <f aca="false">IF(G68="","",ROUNDUP(G68/12,0))</f>
        <v>5</v>
      </c>
      <c r="I68" s="14" t="n">
        <f aca="false">IF(G68="","",M67)</f>
        <v>4518316.74261886</v>
      </c>
      <c r="J68" s="14" t="n">
        <f aca="false">IF(G68="","",$E$5)</f>
        <v>46606.5593916759</v>
      </c>
      <c r="K68" s="14" t="n">
        <f aca="false">IF(G68="","",I68*$E$4/12)</f>
        <v>35770.0075457327</v>
      </c>
      <c r="L68" s="14" t="n">
        <f aca="false">IF(G68="","",J68-K68)</f>
        <v>10836.5518459432</v>
      </c>
      <c r="M68" s="14" t="n">
        <f aca="false">IF(G68="","",MAX(0,I68-L68))</f>
        <v>4507480.19077292</v>
      </c>
      <c r="N68" s="14"/>
    </row>
    <row r="69" customFormat="false" ht="15" hidden="false" customHeight="false" outlineLevel="0" collapsed="false">
      <c r="G69" s="37" t="n">
        <f aca="false">IF(57&lt;=$B$6*12,57,"")</f>
        <v>57</v>
      </c>
      <c r="H69" s="37" t="n">
        <f aca="false">IF(G69="","",ROUNDUP(G69/12,0))</f>
        <v>5</v>
      </c>
      <c r="I69" s="14" t="n">
        <f aca="false">IF(G69="","",M68)</f>
        <v>4507480.19077292</v>
      </c>
      <c r="J69" s="14" t="n">
        <f aca="false">IF(G69="","",$E$5)</f>
        <v>46606.5593916759</v>
      </c>
      <c r="K69" s="14" t="n">
        <f aca="false">IF(G69="","",I69*$E$4/12)</f>
        <v>35684.2181769523</v>
      </c>
      <c r="L69" s="14" t="n">
        <f aca="false">IF(G69="","",J69-K69)</f>
        <v>10922.3412147236</v>
      </c>
      <c r="M69" s="14" t="n">
        <f aca="false">IF(G69="","",MAX(0,I69-L69))</f>
        <v>4496557.8495582</v>
      </c>
      <c r="N69" s="14"/>
    </row>
    <row r="70" customFormat="false" ht="15" hidden="false" customHeight="false" outlineLevel="0" collapsed="false">
      <c r="G70" s="37" t="n">
        <f aca="false">IF(58&lt;=$B$6*12,58,"")</f>
        <v>58</v>
      </c>
      <c r="H70" s="37" t="n">
        <f aca="false">IF(G70="","",ROUNDUP(G70/12,0))</f>
        <v>5</v>
      </c>
      <c r="I70" s="14" t="n">
        <f aca="false">IF(G70="","",M69)</f>
        <v>4496557.8495582</v>
      </c>
      <c r="J70" s="14" t="n">
        <f aca="false">IF(G70="","",$E$5)</f>
        <v>46606.5593916759</v>
      </c>
      <c r="K70" s="14" t="n">
        <f aca="false">IF(G70="","",I70*$E$4/12)</f>
        <v>35597.7496423357</v>
      </c>
      <c r="L70" s="14" t="n">
        <f aca="false">IF(G70="","",J70-K70)</f>
        <v>11008.8097493402</v>
      </c>
      <c r="M70" s="14" t="n">
        <f aca="false">IF(G70="","",MAX(0,I70-L70))</f>
        <v>4485549.03980886</v>
      </c>
      <c r="N70" s="14"/>
    </row>
    <row r="71" customFormat="false" ht="15" hidden="false" customHeight="false" outlineLevel="0" collapsed="false">
      <c r="G71" s="37" t="n">
        <f aca="false">IF(59&lt;=$B$6*12,59,"")</f>
        <v>59</v>
      </c>
      <c r="H71" s="37" t="n">
        <f aca="false">IF(G71="","",ROUNDUP(G71/12,0))</f>
        <v>5</v>
      </c>
      <c r="I71" s="14" t="n">
        <f aca="false">IF(G71="","",M70)</f>
        <v>4485549.03980886</v>
      </c>
      <c r="J71" s="14" t="n">
        <f aca="false">IF(G71="","",$E$5)</f>
        <v>46606.5593916759</v>
      </c>
      <c r="K71" s="14" t="n">
        <f aca="false">IF(G71="","",I71*$E$4/12)</f>
        <v>35510.5965651534</v>
      </c>
      <c r="L71" s="14" t="n">
        <f aca="false">IF(G71="","",J71-K71)</f>
        <v>11095.9628265225</v>
      </c>
      <c r="M71" s="14" t="n">
        <f aca="false">IF(G71="","",MAX(0,I71-L71))</f>
        <v>4474453.07698233</v>
      </c>
      <c r="N71" s="14"/>
    </row>
    <row r="72" customFormat="false" ht="15" hidden="false" customHeight="false" outlineLevel="0" collapsed="false">
      <c r="G72" s="37" t="n">
        <f aca="false">IF(60&lt;=$B$6*12,60,"")</f>
        <v>60</v>
      </c>
      <c r="H72" s="37" t="n">
        <f aca="false">IF(G72="","",ROUNDUP(G72/12,0))</f>
        <v>5</v>
      </c>
      <c r="I72" s="14" t="n">
        <f aca="false">IF(G72="","",M71)</f>
        <v>4474453.07698233</v>
      </c>
      <c r="J72" s="14" t="n">
        <f aca="false">IF(G72="","",$E$5)</f>
        <v>46606.5593916759</v>
      </c>
      <c r="K72" s="14" t="n">
        <f aca="false">IF(G72="","",I72*$E$4/12)</f>
        <v>35422.7535261101</v>
      </c>
      <c r="L72" s="14" t="n">
        <f aca="false">IF(G72="","",J72-K72)</f>
        <v>11183.8058655658</v>
      </c>
      <c r="M72" s="14" t="n">
        <f aca="false">IF(G72="","",MAX(0,I72-L72))</f>
        <v>4463269.27111677</v>
      </c>
      <c r="N72" s="14"/>
    </row>
    <row r="73" customFormat="false" ht="15" hidden="false" customHeight="false" outlineLevel="0" collapsed="false">
      <c r="G73" s="37" t="n">
        <f aca="false">IF(61&lt;=$B$6*12,61,"")</f>
        <v>61</v>
      </c>
      <c r="H73" s="37" t="n">
        <f aca="false">IF(G73="","",ROUNDUP(G73/12,0))</f>
        <v>6</v>
      </c>
      <c r="I73" s="14" t="n">
        <f aca="false">IF(G73="","",M72)</f>
        <v>4463269.27111677</v>
      </c>
      <c r="J73" s="14" t="n">
        <f aca="false">IF(G73="","",$E$5)</f>
        <v>46606.5593916759</v>
      </c>
      <c r="K73" s="14" t="n">
        <f aca="false">IF(G73="","",I73*$E$4/12)</f>
        <v>35334.2150630077</v>
      </c>
      <c r="L73" s="14" t="n">
        <f aca="false">IF(G73="","",J73-K73)</f>
        <v>11272.3443286682</v>
      </c>
      <c r="M73" s="14" t="n">
        <f aca="false">IF(G73="","",MAX(0,I73-L73))</f>
        <v>4451996.9267881</v>
      </c>
      <c r="N73" s="14"/>
    </row>
    <row r="74" customFormat="false" ht="15" hidden="false" customHeight="false" outlineLevel="0" collapsed="false">
      <c r="G74" s="37" t="n">
        <f aca="false">IF(62&lt;=$B$6*12,62,"")</f>
        <v>62</v>
      </c>
      <c r="H74" s="37" t="n">
        <f aca="false">IF(G74="","",ROUNDUP(G74/12,0))</f>
        <v>6</v>
      </c>
      <c r="I74" s="14" t="n">
        <f aca="false">IF(G74="","",M73)</f>
        <v>4451996.9267881</v>
      </c>
      <c r="J74" s="14" t="n">
        <f aca="false">IF(G74="","",$E$5)</f>
        <v>46606.5593916759</v>
      </c>
      <c r="K74" s="14" t="n">
        <f aca="false">IF(G74="","",I74*$E$4/12)</f>
        <v>35244.9756704058</v>
      </c>
      <c r="L74" s="14" t="n">
        <f aca="false">IF(G74="","",J74-K74)</f>
        <v>11361.5837212701</v>
      </c>
      <c r="M74" s="14" t="n">
        <f aca="false">IF(G74="","",MAX(0,I74-L74))</f>
        <v>4440635.34306683</v>
      </c>
      <c r="N74" s="14"/>
    </row>
    <row r="75" customFormat="false" ht="15" hidden="false" customHeight="false" outlineLevel="0" collapsed="false">
      <c r="G75" s="37" t="n">
        <f aca="false">IF(63&lt;=$B$6*12,63,"")</f>
        <v>63</v>
      </c>
      <c r="H75" s="37" t="n">
        <f aca="false">IF(G75="","",ROUNDUP(G75/12,0))</f>
        <v>6</v>
      </c>
      <c r="I75" s="14" t="n">
        <f aca="false">IF(G75="","",M74)</f>
        <v>4440635.34306683</v>
      </c>
      <c r="J75" s="14" t="n">
        <f aca="false">IF(G75="","",$E$5)</f>
        <v>46606.5593916759</v>
      </c>
      <c r="K75" s="14" t="n">
        <f aca="false">IF(G75="","",I75*$E$4/12)</f>
        <v>35155.0297992791</v>
      </c>
      <c r="L75" s="14" t="n">
        <f aca="false">IF(G75="","",J75-K75)</f>
        <v>11451.5295923968</v>
      </c>
      <c r="M75" s="14" t="n">
        <f aca="false">IF(G75="","",MAX(0,I75-L75))</f>
        <v>4429183.81347443</v>
      </c>
      <c r="N75" s="14"/>
    </row>
    <row r="76" customFormat="false" ht="15" hidden="false" customHeight="false" outlineLevel="0" collapsed="false">
      <c r="G76" s="37" t="n">
        <f aca="false">IF(64&lt;=$B$6*12,64,"")</f>
        <v>64</v>
      </c>
      <c r="H76" s="37" t="n">
        <f aca="false">IF(G76="","",ROUNDUP(G76/12,0))</f>
        <v>6</v>
      </c>
      <c r="I76" s="14" t="n">
        <f aca="false">IF(G76="","",M75)</f>
        <v>4429183.81347443</v>
      </c>
      <c r="J76" s="14" t="n">
        <f aca="false">IF(G76="","",$E$5)</f>
        <v>46606.5593916759</v>
      </c>
      <c r="K76" s="14" t="n">
        <f aca="false">IF(G76="","",I76*$E$4/12)</f>
        <v>35064.3718566726</v>
      </c>
      <c r="L76" s="14" t="n">
        <f aca="false">IF(G76="","",J76-K76)</f>
        <v>11542.1875350033</v>
      </c>
      <c r="M76" s="14" t="n">
        <f aca="false">IF(G76="","",MAX(0,I76-L76))</f>
        <v>4417641.62593943</v>
      </c>
      <c r="N76" s="14"/>
    </row>
    <row r="77" customFormat="false" ht="15" hidden="false" customHeight="false" outlineLevel="0" collapsed="false">
      <c r="G77" s="37" t="n">
        <f aca="false">IF(65&lt;=$B$6*12,65,"")</f>
        <v>65</v>
      </c>
      <c r="H77" s="37" t="n">
        <f aca="false">IF(G77="","",ROUNDUP(G77/12,0))</f>
        <v>6</v>
      </c>
      <c r="I77" s="14" t="n">
        <f aca="false">IF(G77="","",M76)</f>
        <v>4417641.62593943</v>
      </c>
      <c r="J77" s="14" t="n">
        <f aca="false">IF(G77="","",$E$5)</f>
        <v>46606.5593916759</v>
      </c>
      <c r="K77" s="14" t="n">
        <f aca="false">IF(G77="","",I77*$E$4/12)</f>
        <v>34972.9962053538</v>
      </c>
      <c r="L77" s="14" t="n">
        <f aca="false">IF(G77="","",J77-K77)</f>
        <v>11633.5631863221</v>
      </c>
      <c r="M77" s="14" t="n">
        <f aca="false">IF(G77="","",MAX(0,I77-L77))</f>
        <v>4406008.06275311</v>
      </c>
      <c r="N77" s="14"/>
    </row>
    <row r="78" customFormat="false" ht="15" hidden="false" customHeight="false" outlineLevel="0" collapsed="false">
      <c r="G78" s="37" t="n">
        <f aca="false">IF(66&lt;=$B$6*12,66,"")</f>
        <v>66</v>
      </c>
      <c r="H78" s="37" t="n">
        <f aca="false">IF(G78="","",ROUNDUP(G78/12,0))</f>
        <v>6</v>
      </c>
      <c r="I78" s="14" t="n">
        <f aca="false">IF(G78="","",M77)</f>
        <v>4406008.06275311</v>
      </c>
      <c r="J78" s="14" t="n">
        <f aca="false">IF(G78="","",$E$5)</f>
        <v>46606.5593916759</v>
      </c>
      <c r="K78" s="14" t="n">
        <f aca="false">IF(G78="","",I78*$E$4/12)</f>
        <v>34880.8971634621</v>
      </c>
      <c r="L78" s="14" t="n">
        <f aca="false">IF(G78="","",J78-K78)</f>
        <v>11725.6622282138</v>
      </c>
      <c r="M78" s="14" t="n">
        <f aca="false">IF(G78="","",MAX(0,I78-L78))</f>
        <v>4394282.40052489</v>
      </c>
      <c r="N78" s="14"/>
    </row>
    <row r="79" customFormat="false" ht="15" hidden="false" customHeight="false" outlineLevel="0" collapsed="false">
      <c r="G79" s="37" t="n">
        <f aca="false">IF(67&lt;=$B$6*12,67,"")</f>
        <v>67</v>
      </c>
      <c r="H79" s="37" t="n">
        <f aca="false">IF(G79="","",ROUNDUP(G79/12,0))</f>
        <v>6</v>
      </c>
      <c r="I79" s="14" t="n">
        <f aca="false">IF(G79="","",M78)</f>
        <v>4394282.40052489</v>
      </c>
      <c r="J79" s="14" t="n">
        <f aca="false">IF(G79="","",$E$5)</f>
        <v>46606.5593916759</v>
      </c>
      <c r="K79" s="14" t="n">
        <f aca="false">IF(G79="","",I79*$E$4/12)</f>
        <v>34788.0690041554</v>
      </c>
      <c r="L79" s="14" t="n">
        <f aca="false">IF(G79="","",J79-K79)</f>
        <v>11818.4903875205</v>
      </c>
      <c r="M79" s="14" t="n">
        <f aca="false">IF(G79="","",MAX(0,I79-L79))</f>
        <v>4382463.91013737</v>
      </c>
      <c r="N79" s="14"/>
    </row>
    <row r="80" customFormat="false" ht="15" hidden="false" customHeight="false" outlineLevel="0" collapsed="false">
      <c r="G80" s="37" t="n">
        <f aca="false">IF(68&lt;=$B$6*12,68,"")</f>
        <v>68</v>
      </c>
      <c r="H80" s="37" t="n">
        <f aca="false">IF(G80="","",ROUNDUP(G80/12,0))</f>
        <v>6</v>
      </c>
      <c r="I80" s="14" t="n">
        <f aca="false">IF(G80="","",M79)</f>
        <v>4382463.91013737</v>
      </c>
      <c r="J80" s="14" t="n">
        <f aca="false">IF(G80="","",$E$5)</f>
        <v>46606.5593916759</v>
      </c>
      <c r="K80" s="14" t="n">
        <f aca="false">IF(G80="","",I80*$E$4/12)</f>
        <v>34694.5059552542</v>
      </c>
      <c r="L80" s="14" t="n">
        <f aca="false">IF(G80="","",J80-K80)</f>
        <v>11912.0534364217</v>
      </c>
      <c r="M80" s="14" t="n">
        <f aca="false">IF(G80="","",MAX(0,I80-L80))</f>
        <v>4370551.85670095</v>
      </c>
      <c r="N80" s="14"/>
    </row>
    <row r="81" customFormat="false" ht="15" hidden="false" customHeight="false" outlineLevel="0" collapsed="false">
      <c r="G81" s="37" t="n">
        <f aca="false">IF(69&lt;=$B$6*12,69,"")</f>
        <v>69</v>
      </c>
      <c r="H81" s="37" t="n">
        <f aca="false">IF(G81="","",ROUNDUP(G81/12,0))</f>
        <v>6</v>
      </c>
      <c r="I81" s="14" t="n">
        <f aca="false">IF(G81="","",M80)</f>
        <v>4370551.85670095</v>
      </c>
      <c r="J81" s="14" t="n">
        <f aca="false">IF(G81="","",$E$5)</f>
        <v>46606.5593916759</v>
      </c>
      <c r="K81" s="14" t="n">
        <f aca="false">IF(G81="","",I81*$E$4/12)</f>
        <v>34600.2021988825</v>
      </c>
      <c r="L81" s="14" t="n">
        <f aca="false">IF(G81="","",J81-K81)</f>
        <v>12006.3571927934</v>
      </c>
      <c r="M81" s="14" t="n">
        <f aca="false">IF(G81="","",MAX(0,I81-L81))</f>
        <v>4358545.49950816</v>
      </c>
      <c r="N81" s="14"/>
    </row>
    <row r="82" customFormat="false" ht="15" hidden="false" customHeight="false" outlineLevel="0" collapsed="false">
      <c r="G82" s="37" t="n">
        <f aca="false">IF(70&lt;=$B$6*12,70,"")</f>
        <v>70</v>
      </c>
      <c r="H82" s="37" t="n">
        <f aca="false">IF(G82="","",ROUNDUP(G82/12,0))</f>
        <v>6</v>
      </c>
      <c r="I82" s="14" t="n">
        <f aca="false">IF(G82="","",M81)</f>
        <v>4358545.49950816</v>
      </c>
      <c r="J82" s="14" t="n">
        <f aca="false">IF(G82="","",$E$5)</f>
        <v>46606.5593916759</v>
      </c>
      <c r="K82" s="14" t="n">
        <f aca="false">IF(G82="","",I82*$E$4/12)</f>
        <v>34505.1518711063</v>
      </c>
      <c r="L82" s="14" t="n">
        <f aca="false">IF(G82="","",J82-K82)</f>
        <v>12101.4075205697</v>
      </c>
      <c r="M82" s="14" t="n">
        <f aca="false">IF(G82="","",MAX(0,I82-L82))</f>
        <v>4346444.09198759</v>
      </c>
      <c r="N82" s="14"/>
    </row>
    <row r="83" customFormat="false" ht="15" hidden="false" customHeight="false" outlineLevel="0" collapsed="false">
      <c r="G83" s="37" t="n">
        <f aca="false">IF(71&lt;=$B$6*12,71,"")</f>
        <v>71</v>
      </c>
      <c r="H83" s="37" t="n">
        <f aca="false">IF(G83="","",ROUNDUP(G83/12,0))</f>
        <v>6</v>
      </c>
      <c r="I83" s="14" t="n">
        <f aca="false">IF(G83="","",M82)</f>
        <v>4346444.09198759</v>
      </c>
      <c r="J83" s="14" t="n">
        <f aca="false">IF(G83="","",$E$5)</f>
        <v>46606.5593916759</v>
      </c>
      <c r="K83" s="14" t="n">
        <f aca="false">IF(G83="","",I83*$E$4/12)</f>
        <v>34409.3490615684</v>
      </c>
      <c r="L83" s="14" t="n">
        <f aca="false">IF(G83="","",J83-K83)</f>
        <v>12197.2103301075</v>
      </c>
      <c r="M83" s="14" t="n">
        <f aca="false">IF(G83="","",MAX(0,I83-L83))</f>
        <v>4334246.88165748</v>
      </c>
      <c r="N83" s="14"/>
    </row>
    <row r="84" customFormat="false" ht="15" hidden="false" customHeight="false" outlineLevel="0" collapsed="false">
      <c r="G84" s="37" t="n">
        <f aca="false">IF(72&lt;=$B$6*12,72,"")</f>
        <v>72</v>
      </c>
      <c r="H84" s="37" t="n">
        <f aca="false">IF(G84="","",ROUNDUP(G84/12,0))</f>
        <v>6</v>
      </c>
      <c r="I84" s="14" t="n">
        <f aca="false">IF(G84="","",M83)</f>
        <v>4334246.88165748</v>
      </c>
      <c r="J84" s="14" t="n">
        <f aca="false">IF(G84="","",$E$5)</f>
        <v>46606.5593916759</v>
      </c>
      <c r="K84" s="14" t="n">
        <f aca="false">IF(G84="","",I84*$E$4/12)</f>
        <v>34312.7878131217</v>
      </c>
      <c r="L84" s="14" t="n">
        <f aca="false">IF(G84="","",J84-K84)</f>
        <v>12293.7715785542</v>
      </c>
      <c r="M84" s="14" t="n">
        <f aca="false">IF(G84="","",MAX(0,I84-L84))</f>
        <v>4321953.11007893</v>
      </c>
      <c r="N84" s="14"/>
    </row>
    <row r="85" customFormat="false" ht="15" hidden="false" customHeight="false" outlineLevel="0" collapsed="false">
      <c r="G85" s="37" t="n">
        <f aca="false">IF(73&lt;=$B$6*12,73,"")</f>
        <v>73</v>
      </c>
      <c r="H85" s="37" t="n">
        <f aca="false">IF(G85="","",ROUNDUP(G85/12,0))</f>
        <v>7</v>
      </c>
      <c r="I85" s="14" t="n">
        <f aca="false">IF(G85="","",M84)</f>
        <v>4321953.11007893</v>
      </c>
      <c r="J85" s="14" t="n">
        <f aca="false">IF(G85="","",$E$5)</f>
        <v>46606.5593916759</v>
      </c>
      <c r="K85" s="14" t="n">
        <f aca="false">IF(G85="","",I85*$E$4/12)</f>
        <v>34215.4621214582</v>
      </c>
      <c r="L85" s="14" t="n">
        <f aca="false">IF(G85="","",J85-K85)</f>
        <v>12391.0972702177</v>
      </c>
      <c r="M85" s="14" t="n">
        <f aca="false">IF(G85="","",MAX(0,I85-L85))</f>
        <v>4309562.01280871</v>
      </c>
      <c r="N85" s="14"/>
    </row>
    <row r="86" customFormat="false" ht="15" hidden="false" customHeight="false" outlineLevel="0" collapsed="false">
      <c r="G86" s="37" t="n">
        <f aca="false">IF(74&lt;=$B$6*12,74,"")</f>
        <v>74</v>
      </c>
      <c r="H86" s="37" t="n">
        <f aca="false">IF(G86="","",ROUNDUP(G86/12,0))</f>
        <v>7</v>
      </c>
      <c r="I86" s="14" t="n">
        <f aca="false">IF(G86="","",M85)</f>
        <v>4309562.01280871</v>
      </c>
      <c r="J86" s="14" t="n">
        <f aca="false">IF(G86="","",$E$5)</f>
        <v>46606.5593916759</v>
      </c>
      <c r="K86" s="14" t="n">
        <f aca="false">IF(G86="","",I86*$E$4/12)</f>
        <v>34117.3659347356</v>
      </c>
      <c r="L86" s="14" t="n">
        <f aca="false">IF(G86="","",J86-K86)</f>
        <v>12489.1934569403</v>
      </c>
      <c r="M86" s="14" t="n">
        <f aca="false">IF(G86="","",MAX(0,I86-L86))</f>
        <v>4297072.81935177</v>
      </c>
      <c r="N86" s="14"/>
    </row>
    <row r="87" customFormat="false" ht="15" hidden="false" customHeight="false" outlineLevel="0" collapsed="false">
      <c r="G87" s="37" t="n">
        <f aca="false">IF(75&lt;=$B$6*12,75,"")</f>
        <v>75</v>
      </c>
      <c r="H87" s="37" t="n">
        <f aca="false">IF(G87="","",ROUNDUP(G87/12,0))</f>
        <v>7</v>
      </c>
      <c r="I87" s="14" t="n">
        <f aca="false">IF(G87="","",M86)</f>
        <v>4297072.81935177</v>
      </c>
      <c r="J87" s="14" t="n">
        <f aca="false">IF(G87="","",$E$5)</f>
        <v>46606.5593916759</v>
      </c>
      <c r="K87" s="14" t="n">
        <f aca="false">IF(G87="","",I87*$E$4/12)</f>
        <v>34018.4931532015</v>
      </c>
      <c r="L87" s="14" t="n">
        <f aca="false">IF(G87="","",J87-K87)</f>
        <v>12588.0662384744</v>
      </c>
      <c r="M87" s="14" t="n">
        <f aca="false">IF(G87="","",MAX(0,I87-L87))</f>
        <v>4284484.7531133</v>
      </c>
      <c r="N87" s="14"/>
    </row>
    <row r="88" customFormat="false" ht="15" hidden="false" customHeight="false" outlineLevel="0" collapsed="false">
      <c r="G88" s="37" t="n">
        <f aca="false">IF(76&lt;=$B$6*12,76,"")</f>
        <v>76</v>
      </c>
      <c r="H88" s="37" t="n">
        <f aca="false">IF(G88="","",ROUNDUP(G88/12,0))</f>
        <v>7</v>
      </c>
      <c r="I88" s="14" t="n">
        <f aca="false">IF(G88="","",M87)</f>
        <v>4284484.7531133</v>
      </c>
      <c r="J88" s="14" t="n">
        <f aca="false">IF(G88="","",$E$5)</f>
        <v>46606.5593916759</v>
      </c>
      <c r="K88" s="14" t="n">
        <f aca="false">IF(G88="","",I88*$E$4/12)</f>
        <v>33918.8376288136</v>
      </c>
      <c r="L88" s="14" t="n">
        <f aca="false">IF(G88="","",J88-K88)</f>
        <v>12687.7217628623</v>
      </c>
      <c r="M88" s="14" t="n">
        <f aca="false">IF(G88="","",MAX(0,I88-L88))</f>
        <v>4271797.03135043</v>
      </c>
      <c r="N88" s="14"/>
    </row>
    <row r="89" customFormat="false" ht="15" hidden="false" customHeight="false" outlineLevel="0" collapsed="false">
      <c r="G89" s="37" t="n">
        <f aca="false">IF(77&lt;=$B$6*12,77,"")</f>
        <v>77</v>
      </c>
      <c r="H89" s="37" t="n">
        <f aca="false">IF(G89="","",ROUNDUP(G89/12,0))</f>
        <v>7</v>
      </c>
      <c r="I89" s="14" t="n">
        <f aca="false">IF(G89="","",M88)</f>
        <v>4271797.03135043</v>
      </c>
      <c r="J89" s="14" t="n">
        <f aca="false">IF(G89="","",$E$5)</f>
        <v>46606.5593916759</v>
      </c>
      <c r="K89" s="14" t="n">
        <f aca="false">IF(G89="","",I89*$E$4/12)</f>
        <v>33818.3931648576</v>
      </c>
      <c r="L89" s="14" t="n">
        <f aca="false">IF(G89="","",J89-K89)</f>
        <v>12788.1662268183</v>
      </c>
      <c r="M89" s="14" t="n">
        <f aca="false">IF(G89="","",MAX(0,I89-L89))</f>
        <v>4259008.86512362</v>
      </c>
      <c r="N89" s="14"/>
    </row>
    <row r="90" customFormat="false" ht="15" hidden="false" customHeight="false" outlineLevel="0" collapsed="false">
      <c r="G90" s="37" t="n">
        <f aca="false">IF(78&lt;=$B$6*12,78,"")</f>
        <v>78</v>
      </c>
      <c r="H90" s="37" t="n">
        <f aca="false">IF(G90="","",ROUNDUP(G90/12,0))</f>
        <v>7</v>
      </c>
      <c r="I90" s="14" t="n">
        <f aca="false">IF(G90="","",M89)</f>
        <v>4259008.86512362</v>
      </c>
      <c r="J90" s="14" t="n">
        <f aca="false">IF(G90="","",$E$5)</f>
        <v>46606.5593916759</v>
      </c>
      <c r="K90" s="14" t="n">
        <f aca="false">IF(G90="","",I90*$E$4/12)</f>
        <v>33717.153515562</v>
      </c>
      <c r="L90" s="14" t="n">
        <f aca="false">IF(G90="","",J90-K90)</f>
        <v>12889.405876114</v>
      </c>
      <c r="M90" s="14" t="n">
        <f aca="false">IF(G90="","",MAX(0,I90-L90))</f>
        <v>4246119.4592475</v>
      </c>
      <c r="N90" s="14"/>
    </row>
    <row r="91" customFormat="false" ht="15" hidden="false" customHeight="false" outlineLevel="0" collapsed="false">
      <c r="G91" s="37" t="n">
        <f aca="false">IF(79&lt;=$B$6*12,79,"")</f>
        <v>79</v>
      </c>
      <c r="H91" s="37" t="n">
        <f aca="false">IF(G91="","",ROUNDUP(G91/12,0))</f>
        <v>7</v>
      </c>
      <c r="I91" s="14" t="n">
        <f aca="false">IF(G91="","",M90)</f>
        <v>4246119.4592475</v>
      </c>
      <c r="J91" s="14" t="n">
        <f aca="false">IF(G91="","",$E$5)</f>
        <v>46606.5593916759</v>
      </c>
      <c r="K91" s="14" t="n">
        <f aca="false">IF(G91="","",I91*$E$4/12)</f>
        <v>33615.1123857094</v>
      </c>
      <c r="L91" s="14" t="n">
        <f aca="false">IF(G91="","",J91-K91)</f>
        <v>12991.4470059665</v>
      </c>
      <c r="M91" s="14" t="n">
        <f aca="false">IF(G91="","",MAX(0,I91-L91))</f>
        <v>4233128.01224153</v>
      </c>
      <c r="N91" s="14"/>
    </row>
    <row r="92" customFormat="false" ht="15" hidden="false" customHeight="false" outlineLevel="0" collapsed="false">
      <c r="G92" s="37" t="n">
        <f aca="false">IF(80&lt;=$B$6*12,80,"")</f>
        <v>80</v>
      </c>
      <c r="H92" s="37" t="n">
        <f aca="false">IF(G92="","",ROUNDUP(G92/12,0))</f>
        <v>7</v>
      </c>
      <c r="I92" s="14" t="n">
        <f aca="false">IF(G92="","",M91)</f>
        <v>4233128.01224153</v>
      </c>
      <c r="J92" s="14" t="n">
        <f aca="false">IF(G92="","",$E$5)</f>
        <v>46606.5593916759</v>
      </c>
      <c r="K92" s="14" t="n">
        <f aca="false">IF(G92="","",I92*$E$4/12)</f>
        <v>33512.2634302455</v>
      </c>
      <c r="L92" s="14" t="n">
        <f aca="false">IF(G92="","",J92-K92)</f>
        <v>13094.2959614304</v>
      </c>
      <c r="M92" s="14" t="n">
        <f aca="false">IF(G92="","",MAX(0,I92-L92))</f>
        <v>4220033.7162801</v>
      </c>
      <c r="N92" s="14"/>
    </row>
    <row r="93" customFormat="false" ht="15" hidden="false" customHeight="false" outlineLevel="0" collapsed="false">
      <c r="G93" s="37" t="n">
        <f aca="false">IF(81&lt;=$B$6*12,81,"")</f>
        <v>81</v>
      </c>
      <c r="H93" s="37" t="n">
        <f aca="false">IF(G93="","",ROUNDUP(G93/12,0))</f>
        <v>7</v>
      </c>
      <c r="I93" s="14" t="n">
        <f aca="false">IF(G93="","",M92)</f>
        <v>4220033.7162801</v>
      </c>
      <c r="J93" s="14" t="n">
        <f aca="false">IF(G93="","",$E$5)</f>
        <v>46606.5593916759</v>
      </c>
      <c r="K93" s="14" t="n">
        <f aca="false">IF(G93="","",I93*$E$4/12)</f>
        <v>33408.6002538842</v>
      </c>
      <c r="L93" s="14" t="n">
        <f aca="false">IF(G93="","",J93-K93)</f>
        <v>13197.9591377917</v>
      </c>
      <c r="M93" s="14" t="n">
        <f aca="false">IF(G93="","",MAX(0,I93-L93))</f>
        <v>4206835.75714231</v>
      </c>
      <c r="N93" s="14"/>
    </row>
    <row r="94" customFormat="false" ht="15" hidden="false" customHeight="false" outlineLevel="0" collapsed="false">
      <c r="G94" s="37" t="n">
        <f aca="false">IF(82&lt;=$B$6*12,82,"")</f>
        <v>82</v>
      </c>
      <c r="H94" s="37" t="n">
        <f aca="false">IF(G94="","",ROUNDUP(G94/12,0))</f>
        <v>7</v>
      </c>
      <c r="I94" s="14" t="n">
        <f aca="false">IF(G94="","",M93)</f>
        <v>4206835.75714231</v>
      </c>
      <c r="J94" s="14" t="n">
        <f aca="false">IF(G94="","",$E$5)</f>
        <v>46606.5593916759</v>
      </c>
      <c r="K94" s="14" t="n">
        <f aca="false">IF(G94="","",I94*$E$4/12)</f>
        <v>33304.11641071</v>
      </c>
      <c r="L94" s="14" t="n">
        <f aca="false">IF(G94="","",J94-K94)</f>
        <v>13302.4429809659</v>
      </c>
      <c r="M94" s="14" t="n">
        <f aca="false">IF(G94="","",MAX(0,I94-L94))</f>
        <v>4193533.31416135</v>
      </c>
      <c r="N94" s="14"/>
    </row>
    <row r="95" customFormat="false" ht="15" hidden="false" customHeight="false" outlineLevel="0" collapsed="false">
      <c r="G95" s="37" t="n">
        <f aca="false">IF(83&lt;=$B$6*12,83,"")</f>
        <v>83</v>
      </c>
      <c r="H95" s="37" t="n">
        <f aca="false">IF(G95="","",ROUNDUP(G95/12,0))</f>
        <v>7</v>
      </c>
      <c r="I95" s="14" t="n">
        <f aca="false">IF(G95="","",M94)</f>
        <v>4193533.31416135</v>
      </c>
      <c r="J95" s="14" t="n">
        <f aca="false">IF(G95="","",$E$5)</f>
        <v>46606.5593916759</v>
      </c>
      <c r="K95" s="14" t="n">
        <f aca="false">IF(G95="","",I95*$E$4/12)</f>
        <v>33198.8054037773</v>
      </c>
      <c r="L95" s="14" t="n">
        <f aca="false">IF(G95="","",J95-K95)</f>
        <v>13407.7539878986</v>
      </c>
      <c r="M95" s="14" t="n">
        <f aca="false">IF(G95="","",MAX(0,I95-L95))</f>
        <v>4180125.56017345</v>
      </c>
      <c r="N95" s="14"/>
    </row>
    <row r="96" customFormat="false" ht="15" hidden="false" customHeight="false" outlineLevel="0" collapsed="false">
      <c r="G96" s="37" t="n">
        <f aca="false">IF(84&lt;=$B$6*12,84,"")</f>
        <v>84</v>
      </c>
      <c r="H96" s="37" t="n">
        <f aca="false">IF(G96="","",ROUNDUP(G96/12,0))</f>
        <v>7</v>
      </c>
      <c r="I96" s="14" t="n">
        <f aca="false">IF(G96="","",M95)</f>
        <v>4180125.56017345</v>
      </c>
      <c r="J96" s="14" t="n">
        <f aca="false">IF(G96="","",$E$5)</f>
        <v>46606.5593916759</v>
      </c>
      <c r="K96" s="14" t="n">
        <f aca="false">IF(G96="","",I96*$E$4/12)</f>
        <v>33092.6606847065</v>
      </c>
      <c r="L96" s="14" t="n">
        <f aca="false">IF(G96="","",J96-K96)</f>
        <v>13513.8987069694</v>
      </c>
      <c r="M96" s="14" t="n">
        <f aca="false">IF(G96="","",MAX(0,I96-L96))</f>
        <v>4166611.66146648</v>
      </c>
      <c r="N96" s="14"/>
    </row>
    <row r="97" customFormat="false" ht="15" hidden="false" customHeight="false" outlineLevel="0" collapsed="false">
      <c r="G97" s="37" t="n">
        <f aca="false">IF(85&lt;=$B$6*12,85,"")</f>
        <v>85</v>
      </c>
      <c r="H97" s="37" t="n">
        <f aca="false">IF(G97="","",ROUNDUP(G97/12,0))</f>
        <v>8</v>
      </c>
      <c r="I97" s="14" t="n">
        <f aca="false">IF(G97="","",M96)</f>
        <v>4166611.66146648</v>
      </c>
      <c r="J97" s="14" t="n">
        <f aca="false">IF(G97="","",$E$5)</f>
        <v>46606.5593916759</v>
      </c>
      <c r="K97" s="14" t="n">
        <f aca="false">IF(G97="","",I97*$E$4/12)</f>
        <v>32985.6756532763</v>
      </c>
      <c r="L97" s="14" t="n">
        <f aca="false">IF(G97="","",J97-K97)</f>
        <v>13620.8837383996</v>
      </c>
      <c r="M97" s="14" t="n">
        <f aca="false">IF(G97="","",MAX(0,I97-L97))</f>
        <v>4152990.77772808</v>
      </c>
      <c r="N97" s="14"/>
    </row>
    <row r="98" customFormat="false" ht="15" hidden="false" customHeight="false" outlineLevel="0" collapsed="false">
      <c r="G98" s="37" t="n">
        <f aca="false">IF(86&lt;=$B$6*12,86,"")</f>
        <v>86</v>
      </c>
      <c r="H98" s="37" t="n">
        <f aca="false">IF(G98="","",ROUNDUP(G98/12,0))</f>
        <v>8</v>
      </c>
      <c r="I98" s="14" t="n">
        <f aca="false">IF(G98="","",M97)</f>
        <v>4152990.77772808</v>
      </c>
      <c r="J98" s="14" t="n">
        <f aca="false">IF(G98="","",$E$5)</f>
        <v>46606.5593916759</v>
      </c>
      <c r="K98" s="14" t="n">
        <f aca="false">IF(G98="","",I98*$E$4/12)</f>
        <v>32877.843657014</v>
      </c>
      <c r="L98" s="14" t="n">
        <f aca="false">IF(G98="","",J98-K98)</f>
        <v>13728.715734662</v>
      </c>
      <c r="M98" s="14" t="n">
        <f aca="false">IF(G98="","",MAX(0,I98-L98))</f>
        <v>4139262.06199342</v>
      </c>
      <c r="N98" s="14"/>
    </row>
    <row r="99" customFormat="false" ht="15" hidden="false" customHeight="false" outlineLevel="0" collapsed="false">
      <c r="G99" s="37" t="n">
        <f aca="false">IF(87&lt;=$B$6*12,87,"")</f>
        <v>87</v>
      </c>
      <c r="H99" s="37" t="n">
        <f aca="false">IF(G99="","",ROUNDUP(G99/12,0))</f>
        <v>8</v>
      </c>
      <c r="I99" s="14" t="n">
        <f aca="false">IF(G99="","",M98)</f>
        <v>4139262.06199342</v>
      </c>
      <c r="J99" s="14" t="n">
        <f aca="false">IF(G99="","",$E$5)</f>
        <v>46606.5593916759</v>
      </c>
      <c r="K99" s="14" t="n">
        <f aca="false">IF(G99="","",I99*$E$4/12)</f>
        <v>32769.1579907812</v>
      </c>
      <c r="L99" s="14" t="n">
        <f aca="false">IF(G99="","",J99-K99)</f>
        <v>13837.4014008947</v>
      </c>
      <c r="M99" s="14" t="n">
        <f aca="false">IF(G99="","",MAX(0,I99-L99))</f>
        <v>4125424.66059252</v>
      </c>
      <c r="N99" s="14"/>
    </row>
    <row r="100" customFormat="false" ht="15" hidden="false" customHeight="false" outlineLevel="0" collapsed="false">
      <c r="G100" s="37" t="n">
        <f aca="false">IF(88&lt;=$B$6*12,88,"")</f>
        <v>88</v>
      </c>
      <c r="H100" s="37" t="n">
        <f aca="false">IF(G100="","",ROUNDUP(G100/12,0))</f>
        <v>8</v>
      </c>
      <c r="I100" s="14" t="n">
        <f aca="false">IF(G100="","",M99)</f>
        <v>4125424.66059252</v>
      </c>
      <c r="J100" s="14" t="n">
        <f aca="false">IF(G100="","",$E$5)</f>
        <v>46606.5593916759</v>
      </c>
      <c r="K100" s="14" t="n">
        <f aca="false">IF(G100="","",I100*$E$4/12)</f>
        <v>32659.6118963575</v>
      </c>
      <c r="L100" s="14" t="n">
        <f aca="false">IF(G100="","",J100-K100)</f>
        <v>13946.9474953184</v>
      </c>
      <c r="M100" s="14" t="n">
        <f aca="false">IF(G100="","",MAX(0,I100-L100))</f>
        <v>4111477.7130972</v>
      </c>
      <c r="N100" s="14"/>
    </row>
    <row r="101" customFormat="false" ht="15" hidden="false" customHeight="false" outlineLevel="0" collapsed="false">
      <c r="G101" s="37" t="n">
        <f aca="false">IF(89&lt;=$B$6*12,89,"")</f>
        <v>89</v>
      </c>
      <c r="H101" s="37" t="n">
        <f aca="false">IF(G101="","",ROUNDUP(G101/12,0))</f>
        <v>8</v>
      </c>
      <c r="I101" s="14" t="n">
        <f aca="false">IF(G101="","",M100)</f>
        <v>4111477.7130972</v>
      </c>
      <c r="J101" s="14" t="n">
        <f aca="false">IF(G101="","",$E$5)</f>
        <v>46606.5593916759</v>
      </c>
      <c r="K101" s="14" t="n">
        <f aca="false">IF(G101="","",I101*$E$4/12)</f>
        <v>32549.1985620195</v>
      </c>
      <c r="L101" s="14" t="n">
        <f aca="false">IF(G101="","",J101-K101)</f>
        <v>14057.3608296564</v>
      </c>
      <c r="M101" s="14" t="n">
        <f aca="false">IF(G101="","",MAX(0,I101-L101))</f>
        <v>4097420.35226755</v>
      </c>
      <c r="N101" s="14"/>
    </row>
    <row r="102" customFormat="false" ht="15" hidden="false" customHeight="false" outlineLevel="0" collapsed="false">
      <c r="G102" s="37" t="n">
        <f aca="false">IF(90&lt;=$B$6*12,90,"")</f>
        <v>90</v>
      </c>
      <c r="H102" s="37" t="n">
        <f aca="false">IF(G102="","",ROUNDUP(G102/12,0))</f>
        <v>8</v>
      </c>
      <c r="I102" s="14" t="n">
        <f aca="false">IF(G102="","",M101)</f>
        <v>4097420.35226755</v>
      </c>
      <c r="J102" s="14" t="n">
        <f aca="false">IF(G102="","",$E$5)</f>
        <v>46606.5593916759</v>
      </c>
      <c r="K102" s="14" t="n">
        <f aca="false">IF(G102="","",I102*$E$4/12)</f>
        <v>32437.9111221181</v>
      </c>
      <c r="L102" s="14" t="n">
        <f aca="false">IF(G102="","",J102-K102)</f>
        <v>14168.6482695578</v>
      </c>
      <c r="M102" s="14" t="n">
        <f aca="false">IF(G102="","",MAX(0,I102-L102))</f>
        <v>4083251.70399799</v>
      </c>
      <c r="N102" s="14"/>
    </row>
    <row r="103" customFormat="false" ht="15" hidden="false" customHeight="false" outlineLevel="0" collapsed="false">
      <c r="G103" s="37" t="n">
        <f aca="false">IF(91&lt;=$B$6*12,91,"")</f>
        <v>91</v>
      </c>
      <c r="H103" s="37" t="n">
        <f aca="false">IF(G103="","",ROUNDUP(G103/12,0))</f>
        <v>8</v>
      </c>
      <c r="I103" s="14" t="n">
        <f aca="false">IF(G103="","",M102)</f>
        <v>4083251.70399799</v>
      </c>
      <c r="J103" s="14" t="n">
        <f aca="false">IF(G103="","",$E$5)</f>
        <v>46606.5593916759</v>
      </c>
      <c r="K103" s="14" t="n">
        <f aca="false">IF(G103="","",I103*$E$4/12)</f>
        <v>32325.7426566507</v>
      </c>
      <c r="L103" s="14" t="n">
        <f aca="false">IF(G103="","",J103-K103)</f>
        <v>14280.8167350252</v>
      </c>
      <c r="M103" s="14" t="n">
        <f aca="false">IF(G103="","",MAX(0,I103-L103))</f>
        <v>4068970.88726296</v>
      </c>
      <c r="N103" s="14"/>
    </row>
    <row r="104" customFormat="false" ht="15" hidden="false" customHeight="false" outlineLevel="0" collapsed="false">
      <c r="G104" s="37" t="n">
        <f aca="false">IF(92&lt;=$B$6*12,92,"")</f>
        <v>92</v>
      </c>
      <c r="H104" s="37" t="n">
        <f aca="false">IF(G104="","",ROUNDUP(G104/12,0))</f>
        <v>8</v>
      </c>
      <c r="I104" s="14" t="n">
        <f aca="false">IF(G104="","",M103)</f>
        <v>4068970.88726296</v>
      </c>
      <c r="J104" s="14" t="n">
        <f aca="false">IF(G104="","",$E$5)</f>
        <v>46606.5593916759</v>
      </c>
      <c r="K104" s="14" t="n">
        <f aca="false">IF(G104="","",I104*$E$4/12)</f>
        <v>32212.6861908318</v>
      </c>
      <c r="L104" s="14" t="n">
        <f aca="false">IF(G104="","",J104-K104)</f>
        <v>14393.8732008441</v>
      </c>
      <c r="M104" s="14" t="n">
        <f aca="false">IF(G104="","",MAX(0,I104-L104))</f>
        <v>4054577.01406212</v>
      </c>
      <c r="N104" s="14"/>
    </row>
    <row r="105" customFormat="false" ht="15" hidden="false" customHeight="false" outlineLevel="0" collapsed="false">
      <c r="G105" s="37" t="n">
        <f aca="false">IF(93&lt;=$B$6*12,93,"")</f>
        <v>93</v>
      </c>
      <c r="H105" s="37" t="n">
        <f aca="false">IF(G105="","",ROUNDUP(G105/12,0))</f>
        <v>8</v>
      </c>
      <c r="I105" s="14" t="n">
        <f aca="false">IF(G105="","",M104)</f>
        <v>4054577.01406212</v>
      </c>
      <c r="J105" s="14" t="n">
        <f aca="false">IF(G105="","",$E$5)</f>
        <v>46606.5593916759</v>
      </c>
      <c r="K105" s="14" t="n">
        <f aca="false">IF(G105="","",I105*$E$4/12)</f>
        <v>32098.7346946584</v>
      </c>
      <c r="L105" s="14" t="n">
        <f aca="false">IF(G105="","",J105-K105)</f>
        <v>14507.8246970175</v>
      </c>
      <c r="M105" s="14" t="n">
        <f aca="false">IF(G105="","",MAX(0,I105-L105))</f>
        <v>4040069.1893651</v>
      </c>
      <c r="N105" s="14"/>
    </row>
    <row r="106" customFormat="false" ht="15" hidden="false" customHeight="false" outlineLevel="0" collapsed="false">
      <c r="G106" s="37" t="n">
        <f aca="false">IF(94&lt;=$B$6*12,94,"")</f>
        <v>94</v>
      </c>
      <c r="H106" s="37" t="n">
        <f aca="false">IF(G106="","",ROUNDUP(G106/12,0))</f>
        <v>8</v>
      </c>
      <c r="I106" s="14" t="n">
        <f aca="false">IF(G106="","",M105)</f>
        <v>4040069.1893651</v>
      </c>
      <c r="J106" s="14" t="n">
        <f aca="false">IF(G106="","",$E$5)</f>
        <v>46606.5593916759</v>
      </c>
      <c r="K106" s="14" t="n">
        <f aca="false">IF(G106="","",I106*$E$4/12)</f>
        <v>31983.8810824737</v>
      </c>
      <c r="L106" s="14" t="n">
        <f aca="false">IF(G106="","",J106-K106)</f>
        <v>14622.6783092022</v>
      </c>
      <c r="M106" s="14" t="n">
        <f aca="false">IF(G106="","",MAX(0,I106-L106))</f>
        <v>4025446.5110559</v>
      </c>
      <c r="N106" s="14"/>
    </row>
    <row r="107" customFormat="false" ht="15" hidden="false" customHeight="false" outlineLevel="0" collapsed="false">
      <c r="G107" s="37" t="n">
        <f aca="false">IF(95&lt;=$B$6*12,95,"")</f>
        <v>95</v>
      </c>
      <c r="H107" s="37" t="n">
        <f aca="false">IF(G107="","",ROUNDUP(G107/12,0))</f>
        <v>8</v>
      </c>
      <c r="I107" s="14" t="n">
        <f aca="false">IF(G107="","",M106)</f>
        <v>4025446.5110559</v>
      </c>
      <c r="J107" s="14" t="n">
        <f aca="false">IF(G107="","",$E$5)</f>
        <v>46606.5593916759</v>
      </c>
      <c r="K107" s="14" t="n">
        <f aca="false">IF(G107="","",I107*$E$4/12)</f>
        <v>31868.1182125259</v>
      </c>
      <c r="L107" s="14" t="n">
        <f aca="false">IF(G107="","",J107-K107)</f>
        <v>14738.44117915</v>
      </c>
      <c r="M107" s="14" t="n">
        <f aca="false">IF(G107="","",MAX(0,I107-L107))</f>
        <v>4010708.06987675</v>
      </c>
      <c r="N107" s="14"/>
    </row>
    <row r="108" customFormat="false" ht="15" hidden="false" customHeight="false" outlineLevel="0" collapsed="false">
      <c r="G108" s="37" t="n">
        <f aca="false">IF(96&lt;=$B$6*12,96,"")</f>
        <v>96</v>
      </c>
      <c r="H108" s="37" t="n">
        <f aca="false">IF(G108="","",ROUNDUP(G108/12,0))</f>
        <v>8</v>
      </c>
      <c r="I108" s="14" t="n">
        <f aca="false">IF(G108="","",M107)</f>
        <v>4010708.06987675</v>
      </c>
      <c r="J108" s="14" t="n">
        <f aca="false">IF(G108="","",$E$5)</f>
        <v>46606.5593916759</v>
      </c>
      <c r="K108" s="14" t="n">
        <f aca="false">IF(G108="","",I108*$E$4/12)</f>
        <v>31751.4388865243</v>
      </c>
      <c r="L108" s="14" t="n">
        <f aca="false">IF(G108="","",J108-K108)</f>
        <v>14855.1205051516</v>
      </c>
      <c r="M108" s="14" t="n">
        <f aca="false">IF(G108="","",MAX(0,I108-L108))</f>
        <v>3995852.9493716</v>
      </c>
      <c r="N108" s="14"/>
    </row>
    <row r="109" customFormat="false" ht="15" hidden="false" customHeight="false" outlineLevel="0" collapsed="false">
      <c r="G109" s="37" t="n">
        <f aca="false">IF(97&lt;=$B$6*12,97,"")</f>
        <v>97</v>
      </c>
      <c r="H109" s="37" t="n">
        <f aca="false">IF(G109="","",ROUNDUP(G109/12,0))</f>
        <v>9</v>
      </c>
      <c r="I109" s="14" t="n">
        <f aca="false">IF(G109="","",M108)</f>
        <v>3995852.9493716</v>
      </c>
      <c r="J109" s="14" t="n">
        <f aca="false">IF(G109="","",$E$5)</f>
        <v>46606.5593916759</v>
      </c>
      <c r="K109" s="14" t="n">
        <f aca="false">IF(G109="","",I109*$E$4/12)</f>
        <v>31633.8358491918</v>
      </c>
      <c r="L109" s="14" t="n">
        <f aca="false">IF(G109="","",J109-K109)</f>
        <v>14972.7235424841</v>
      </c>
      <c r="M109" s="14" t="n">
        <f aca="false">IF(G109="","",MAX(0,I109-L109))</f>
        <v>3980880.22582911</v>
      </c>
      <c r="N109" s="14"/>
    </row>
    <row r="110" customFormat="false" ht="15" hidden="false" customHeight="false" outlineLevel="0" collapsed="false">
      <c r="G110" s="37" t="n">
        <f aca="false">IF(98&lt;=$B$6*12,98,"")</f>
        <v>98</v>
      </c>
      <c r="H110" s="37" t="n">
        <f aca="false">IF(G110="","",ROUNDUP(G110/12,0))</f>
        <v>9</v>
      </c>
      <c r="I110" s="14" t="n">
        <f aca="false">IF(G110="","",M109)</f>
        <v>3980880.22582911</v>
      </c>
      <c r="J110" s="14" t="n">
        <f aca="false">IF(G110="","",$E$5)</f>
        <v>46606.5593916759</v>
      </c>
      <c r="K110" s="14" t="n">
        <f aca="false">IF(G110="","",I110*$E$4/12)</f>
        <v>31515.3017878138</v>
      </c>
      <c r="L110" s="14" t="n">
        <f aca="false">IF(G110="","",J110-K110)</f>
        <v>15091.2576038621</v>
      </c>
      <c r="M110" s="14" t="n">
        <f aca="false">IF(G110="","",MAX(0,I110-L110))</f>
        <v>3965788.96822525</v>
      </c>
      <c r="N110" s="14"/>
    </row>
    <row r="111" customFormat="false" ht="15" hidden="false" customHeight="false" outlineLevel="0" collapsed="false">
      <c r="G111" s="37" t="n">
        <f aca="false">IF(99&lt;=$B$6*12,99,"")</f>
        <v>99</v>
      </c>
      <c r="H111" s="37" t="n">
        <f aca="false">IF(G111="","",ROUNDUP(G111/12,0))</f>
        <v>9</v>
      </c>
      <c r="I111" s="14" t="n">
        <f aca="false">IF(G111="","",M110)</f>
        <v>3965788.96822525</v>
      </c>
      <c r="J111" s="14" t="n">
        <f aca="false">IF(G111="","",$E$5)</f>
        <v>46606.5593916759</v>
      </c>
      <c r="K111" s="14" t="n">
        <f aca="false">IF(G111="","",I111*$E$4/12)</f>
        <v>31395.8293317832</v>
      </c>
      <c r="L111" s="14" t="n">
        <f aca="false">IF(G111="","",J111-K111)</f>
        <v>15210.7300598927</v>
      </c>
      <c r="M111" s="14" t="n">
        <f aca="false">IF(G111="","",MAX(0,I111-L111))</f>
        <v>3950578.23816536</v>
      </c>
      <c r="N111" s="14"/>
    </row>
    <row r="112" customFormat="false" ht="15" hidden="false" customHeight="false" outlineLevel="0" collapsed="false">
      <c r="G112" s="37" t="n">
        <f aca="false">IF(100&lt;=$B$6*12,100,"")</f>
        <v>100</v>
      </c>
      <c r="H112" s="37" t="n">
        <f aca="false">IF(G112="","",ROUNDUP(G112/12,0))</f>
        <v>9</v>
      </c>
      <c r="I112" s="14" t="n">
        <f aca="false">IF(G112="","",M111)</f>
        <v>3950578.23816536</v>
      </c>
      <c r="J112" s="14" t="n">
        <f aca="false">IF(G112="","",$E$5)</f>
        <v>46606.5593916759</v>
      </c>
      <c r="K112" s="14" t="n">
        <f aca="false">IF(G112="","",I112*$E$4/12)</f>
        <v>31275.4110521424</v>
      </c>
      <c r="L112" s="14" t="n">
        <f aca="false">IF(G112="","",J112-K112)</f>
        <v>15331.1483395335</v>
      </c>
      <c r="M112" s="14" t="n">
        <f aca="false">IF(G112="","",MAX(0,I112-L112))</f>
        <v>3935247.08982583</v>
      </c>
      <c r="N112" s="14"/>
    </row>
    <row r="113" customFormat="false" ht="15" hidden="false" customHeight="false" outlineLevel="0" collapsed="false">
      <c r="G113" s="37" t="n">
        <f aca="false">IF(101&lt;=$B$6*12,101,"")</f>
        <v>101</v>
      </c>
      <c r="H113" s="37" t="n">
        <f aca="false">IF(G113="","",ROUNDUP(G113/12,0))</f>
        <v>9</v>
      </c>
      <c r="I113" s="14" t="n">
        <f aca="false">IF(G113="","",M112)</f>
        <v>3935247.08982583</v>
      </c>
      <c r="J113" s="14" t="n">
        <f aca="false">IF(G113="","",$E$5)</f>
        <v>46606.5593916759</v>
      </c>
      <c r="K113" s="14" t="n">
        <f aca="false">IF(G113="","",I113*$E$4/12)</f>
        <v>31154.0394611211</v>
      </c>
      <c r="L113" s="14" t="n">
        <f aca="false">IF(G113="","",J113-K113)</f>
        <v>15452.5199305548</v>
      </c>
      <c r="M113" s="14" t="n">
        <f aca="false">IF(G113="","",MAX(0,I113-L113))</f>
        <v>3919794.56989527</v>
      </c>
      <c r="N113" s="14"/>
    </row>
    <row r="114" customFormat="false" ht="15" hidden="false" customHeight="false" outlineLevel="0" collapsed="false">
      <c r="G114" s="37" t="n">
        <f aca="false">IF(102&lt;=$B$6*12,102,"")</f>
        <v>102</v>
      </c>
      <c r="H114" s="37" t="n">
        <f aca="false">IF(G114="","",ROUNDUP(G114/12,0))</f>
        <v>9</v>
      </c>
      <c r="I114" s="14" t="n">
        <f aca="false">IF(G114="","",M113)</f>
        <v>3919794.56989527</v>
      </c>
      <c r="J114" s="14" t="n">
        <f aca="false">IF(G114="","",$E$5)</f>
        <v>46606.5593916759</v>
      </c>
      <c r="K114" s="14" t="n">
        <f aca="false">IF(G114="","",I114*$E$4/12)</f>
        <v>31031.7070116709</v>
      </c>
      <c r="L114" s="14" t="n">
        <f aca="false">IF(G114="","",J114-K114)</f>
        <v>15574.852380005</v>
      </c>
      <c r="M114" s="14" t="n">
        <f aca="false">IF(G114="","",MAX(0,I114-L114))</f>
        <v>3904219.71751527</v>
      </c>
      <c r="N114" s="14"/>
    </row>
    <row r="115" customFormat="false" ht="15" hidden="false" customHeight="false" outlineLevel="0" collapsed="false">
      <c r="G115" s="37" t="n">
        <f aca="false">IF(103&lt;=$B$6*12,103,"")</f>
        <v>103</v>
      </c>
      <c r="H115" s="37" t="n">
        <f aca="false">IF(G115="","",ROUNDUP(G115/12,0))</f>
        <v>9</v>
      </c>
      <c r="I115" s="14" t="n">
        <f aca="false">IF(G115="","",M114)</f>
        <v>3904219.71751527</v>
      </c>
      <c r="J115" s="14" t="n">
        <f aca="false">IF(G115="","",$E$5)</f>
        <v>46606.5593916759</v>
      </c>
      <c r="K115" s="14" t="n">
        <f aca="false">IF(G115="","",I115*$E$4/12)</f>
        <v>30908.4060969959</v>
      </c>
      <c r="L115" s="14" t="n">
        <f aca="false">IF(G115="","",J115-K115)</f>
        <v>15698.15329468</v>
      </c>
      <c r="M115" s="14" t="n">
        <f aca="false">IF(G115="","",MAX(0,I115-L115))</f>
        <v>3888521.56422059</v>
      </c>
      <c r="N115" s="14"/>
    </row>
    <row r="116" customFormat="false" ht="15" hidden="false" customHeight="false" outlineLevel="0" collapsed="false">
      <c r="G116" s="37" t="n">
        <f aca="false">IF(104&lt;=$B$6*12,104,"")</f>
        <v>104</v>
      </c>
      <c r="H116" s="37" t="n">
        <f aca="false">IF(G116="","",ROUNDUP(G116/12,0))</f>
        <v>9</v>
      </c>
      <c r="I116" s="14" t="n">
        <f aca="false">IF(G116="","",M115)</f>
        <v>3888521.56422059</v>
      </c>
      <c r="J116" s="14" t="n">
        <f aca="false">IF(G116="","",$E$5)</f>
        <v>46606.5593916759</v>
      </c>
      <c r="K116" s="14" t="n">
        <f aca="false">IF(G116="","",I116*$E$4/12)</f>
        <v>30784.1290500796</v>
      </c>
      <c r="L116" s="14" t="n">
        <f aca="false">IF(G116="","",J116-K116)</f>
        <v>15822.4303415963</v>
      </c>
      <c r="M116" s="14" t="n">
        <f aca="false">IF(G116="","",MAX(0,I116-L116))</f>
        <v>3872699.13387899</v>
      </c>
      <c r="N116" s="14"/>
    </row>
    <row r="117" customFormat="false" ht="15" hidden="false" customHeight="false" outlineLevel="0" collapsed="false">
      <c r="G117" s="37" t="n">
        <f aca="false">IF(105&lt;=$B$6*12,105,"")</f>
        <v>105</v>
      </c>
      <c r="H117" s="37" t="n">
        <f aca="false">IF(G117="","",ROUNDUP(G117/12,0))</f>
        <v>9</v>
      </c>
      <c r="I117" s="14" t="n">
        <f aca="false">IF(G117="","",M116)</f>
        <v>3872699.13387899</v>
      </c>
      <c r="J117" s="14" t="n">
        <f aca="false">IF(G117="","",$E$5)</f>
        <v>46606.5593916759</v>
      </c>
      <c r="K117" s="14" t="n">
        <f aca="false">IF(G117="","",I117*$E$4/12)</f>
        <v>30658.8681432087</v>
      </c>
      <c r="L117" s="14" t="n">
        <f aca="false">IF(G117="","",J117-K117)</f>
        <v>15947.6912484672</v>
      </c>
      <c r="M117" s="14" t="n">
        <f aca="false">IF(G117="","",MAX(0,I117-L117))</f>
        <v>3856751.44263052</v>
      </c>
      <c r="N117" s="14"/>
    </row>
    <row r="118" customFormat="false" ht="15" hidden="false" customHeight="false" outlineLevel="0" collapsed="false">
      <c r="G118" s="37" t="n">
        <f aca="false">IF(106&lt;=$B$6*12,106,"")</f>
        <v>106</v>
      </c>
      <c r="H118" s="37" t="n">
        <f aca="false">IF(G118="","",ROUNDUP(G118/12,0))</f>
        <v>9</v>
      </c>
      <c r="I118" s="14" t="n">
        <f aca="false">IF(G118="","",M117)</f>
        <v>3856751.44263052</v>
      </c>
      <c r="J118" s="14" t="n">
        <f aca="false">IF(G118="","",$E$5)</f>
        <v>46606.5593916759</v>
      </c>
      <c r="K118" s="14" t="n">
        <f aca="false">IF(G118="","",I118*$E$4/12)</f>
        <v>30532.6155874916</v>
      </c>
      <c r="L118" s="14" t="n">
        <f aca="false">IF(G118="","",J118-K118)</f>
        <v>16073.9438041843</v>
      </c>
      <c r="M118" s="14" t="n">
        <f aca="false">IF(G118="","",MAX(0,I118-L118))</f>
        <v>3840677.49882634</v>
      </c>
      <c r="N118" s="14"/>
    </row>
    <row r="119" customFormat="false" ht="15" hidden="false" customHeight="false" outlineLevel="0" collapsed="false">
      <c r="G119" s="37" t="n">
        <f aca="false">IF(107&lt;=$B$6*12,107,"")</f>
        <v>107</v>
      </c>
      <c r="H119" s="37" t="n">
        <f aca="false">IF(G119="","",ROUNDUP(G119/12,0))</f>
        <v>9</v>
      </c>
      <c r="I119" s="14" t="n">
        <f aca="false">IF(G119="","",M118)</f>
        <v>3840677.49882634</v>
      </c>
      <c r="J119" s="14" t="n">
        <f aca="false">IF(G119="","",$E$5)</f>
        <v>46606.5593916759</v>
      </c>
      <c r="K119" s="14" t="n">
        <f aca="false">IF(G119="","",I119*$E$4/12)</f>
        <v>30405.3635323752</v>
      </c>
      <c r="L119" s="14" t="n">
        <f aca="false">IF(G119="","",J119-K119)</f>
        <v>16201.1958593007</v>
      </c>
      <c r="M119" s="14" t="n">
        <f aca="false">IF(G119="","",MAX(0,I119-L119))</f>
        <v>3824476.30296704</v>
      </c>
      <c r="N119" s="14"/>
    </row>
    <row r="120" customFormat="false" ht="15" hidden="false" customHeight="false" outlineLevel="0" collapsed="false">
      <c r="G120" s="37" t="n">
        <f aca="false">IF(108&lt;=$B$6*12,108,"")</f>
        <v>108</v>
      </c>
      <c r="H120" s="37" t="n">
        <f aca="false">IF(G120="","",ROUNDUP(G120/12,0))</f>
        <v>9</v>
      </c>
      <c r="I120" s="14" t="n">
        <f aca="false">IF(G120="","",M119)</f>
        <v>3824476.30296704</v>
      </c>
      <c r="J120" s="14" t="n">
        <f aca="false">IF(G120="","",$E$5)</f>
        <v>46606.5593916759</v>
      </c>
      <c r="K120" s="14" t="n">
        <f aca="false">IF(G120="","",I120*$E$4/12)</f>
        <v>30277.1040651557</v>
      </c>
      <c r="L120" s="14" t="n">
        <f aca="false">IF(G120="","",J120-K120)</f>
        <v>16329.4553265202</v>
      </c>
      <c r="M120" s="14" t="n">
        <f aca="false">IF(G120="","",MAX(0,I120-L120))</f>
        <v>3808146.84764052</v>
      </c>
      <c r="N120" s="14"/>
    </row>
    <row r="121" customFormat="false" ht="15" hidden="false" customHeight="false" outlineLevel="0" collapsed="false">
      <c r="G121" s="37" t="n">
        <f aca="false">IF(109&lt;=$B$6*12,109,"")</f>
        <v>109</v>
      </c>
      <c r="H121" s="37" t="n">
        <f aca="false">IF(G121="","",ROUNDUP(G121/12,0))</f>
        <v>10</v>
      </c>
      <c r="I121" s="14" t="n">
        <f aca="false">IF(G121="","",M120)</f>
        <v>3808146.84764052</v>
      </c>
      <c r="J121" s="14" t="n">
        <f aca="false">IF(G121="","",$E$5)</f>
        <v>46606.5593916759</v>
      </c>
      <c r="K121" s="14" t="n">
        <f aca="false">IF(G121="","",I121*$E$4/12)</f>
        <v>30147.8292104874</v>
      </c>
      <c r="L121" s="14" t="n">
        <f aca="false">IF(G121="","",J121-K121)</f>
        <v>16458.7301811885</v>
      </c>
      <c r="M121" s="14" t="n">
        <f aca="false">IF(G121="","",MAX(0,I121-L121))</f>
        <v>3791688.11745933</v>
      </c>
      <c r="N121" s="14"/>
    </row>
    <row r="122" customFormat="false" ht="15" hidden="false" customHeight="false" outlineLevel="0" collapsed="false">
      <c r="G122" s="37" t="n">
        <f aca="false">IF(110&lt;=$B$6*12,110,"")</f>
        <v>110</v>
      </c>
      <c r="H122" s="37" t="n">
        <f aca="false">IF(G122="","",ROUNDUP(G122/12,0))</f>
        <v>10</v>
      </c>
      <c r="I122" s="14" t="n">
        <f aca="false">IF(G122="","",M121)</f>
        <v>3791688.11745933</v>
      </c>
      <c r="J122" s="14" t="n">
        <f aca="false">IF(G122="","",$E$5)</f>
        <v>46606.5593916759</v>
      </c>
      <c r="K122" s="14" t="n">
        <f aca="false">IF(G122="","",I122*$E$4/12)</f>
        <v>30017.5309298863</v>
      </c>
      <c r="L122" s="14" t="n">
        <f aca="false">IF(G122="","",J122-K122)</f>
        <v>16589.0284617896</v>
      </c>
      <c r="M122" s="14" t="n">
        <f aca="false">IF(G122="","",MAX(0,I122-L122))</f>
        <v>3775099.08899754</v>
      </c>
      <c r="N122" s="14"/>
    </row>
    <row r="123" customFormat="false" ht="15" hidden="false" customHeight="false" outlineLevel="0" collapsed="false">
      <c r="G123" s="37" t="n">
        <f aca="false">IF(111&lt;=$B$6*12,111,"")</f>
        <v>111</v>
      </c>
      <c r="H123" s="37" t="n">
        <f aca="false">IF(G123="","",ROUNDUP(G123/12,0))</f>
        <v>10</v>
      </c>
      <c r="I123" s="14" t="n">
        <f aca="false">IF(G123="","",M122)</f>
        <v>3775099.08899754</v>
      </c>
      <c r="J123" s="14" t="n">
        <f aca="false">IF(G123="","",$E$5)</f>
        <v>46606.5593916759</v>
      </c>
      <c r="K123" s="14" t="n">
        <f aca="false">IF(G123="","",I123*$E$4/12)</f>
        <v>29886.2011212305</v>
      </c>
      <c r="L123" s="14" t="n">
        <f aca="false">IF(G123="","",J123-K123)</f>
        <v>16720.3582704454</v>
      </c>
      <c r="M123" s="14" t="n">
        <f aca="false">IF(G123="","",MAX(0,I123-L123))</f>
        <v>3758378.73072709</v>
      </c>
      <c r="N123" s="14"/>
    </row>
    <row r="124" customFormat="false" ht="15" hidden="false" customHeight="false" outlineLevel="0" collapsed="false">
      <c r="G124" s="37" t="n">
        <f aca="false">IF(112&lt;=$B$6*12,112,"")</f>
        <v>112</v>
      </c>
      <c r="H124" s="37" t="n">
        <f aca="false">IF(G124="","",ROUNDUP(G124/12,0))</f>
        <v>10</v>
      </c>
      <c r="I124" s="14" t="n">
        <f aca="false">IF(G124="","",M123)</f>
        <v>3758378.73072709</v>
      </c>
      <c r="J124" s="14" t="n">
        <f aca="false">IF(G124="","",$E$5)</f>
        <v>46606.5593916759</v>
      </c>
      <c r="K124" s="14" t="n">
        <f aca="false">IF(G124="","",I124*$E$4/12)</f>
        <v>29753.8316182562</v>
      </c>
      <c r="L124" s="14" t="n">
        <f aca="false">IF(G124="","",J124-K124)</f>
        <v>16852.7277734198</v>
      </c>
      <c r="M124" s="14" t="n">
        <f aca="false">IF(G124="","",MAX(0,I124-L124))</f>
        <v>3741526.00295367</v>
      </c>
      <c r="N124" s="14"/>
    </row>
    <row r="125" customFormat="false" ht="15" hidden="false" customHeight="false" outlineLevel="0" collapsed="false">
      <c r="G125" s="37" t="n">
        <f aca="false">IF(113&lt;=$B$6*12,113,"")</f>
        <v>113</v>
      </c>
      <c r="H125" s="37" t="n">
        <f aca="false">IF(G125="","",ROUNDUP(G125/12,0))</f>
        <v>10</v>
      </c>
      <c r="I125" s="14" t="n">
        <f aca="false">IF(G125="","",M124)</f>
        <v>3741526.00295367</v>
      </c>
      <c r="J125" s="14" t="n">
        <f aca="false">IF(G125="","",$E$5)</f>
        <v>46606.5593916759</v>
      </c>
      <c r="K125" s="14" t="n">
        <f aca="false">IF(G125="","",I125*$E$4/12)</f>
        <v>29620.4141900499</v>
      </c>
      <c r="L125" s="14" t="n">
        <f aca="false">IF(G125="","",J125-K125)</f>
        <v>16986.145201626</v>
      </c>
      <c r="M125" s="14" t="n">
        <f aca="false">IF(G125="","",MAX(0,I125-L125))</f>
        <v>3724539.85775205</v>
      </c>
      <c r="N125" s="14"/>
    </row>
    <row r="126" customFormat="false" ht="15" hidden="false" customHeight="false" outlineLevel="0" collapsed="false">
      <c r="G126" s="37" t="n">
        <f aca="false">IF(114&lt;=$B$6*12,114,"")</f>
        <v>114</v>
      </c>
      <c r="H126" s="37" t="n">
        <f aca="false">IF(G126="","",ROUNDUP(G126/12,0))</f>
        <v>10</v>
      </c>
      <c r="I126" s="14" t="n">
        <f aca="false">IF(G126="","",M125)</f>
        <v>3724539.85775205</v>
      </c>
      <c r="J126" s="14" t="n">
        <f aca="false">IF(G126="","",$E$5)</f>
        <v>46606.5593916759</v>
      </c>
      <c r="K126" s="14" t="n">
        <f aca="false">IF(G126="","",I126*$E$4/12)</f>
        <v>29485.9405405371</v>
      </c>
      <c r="L126" s="14" t="n">
        <f aca="false">IF(G126="","",J126-K126)</f>
        <v>17120.6188511389</v>
      </c>
      <c r="M126" s="14" t="n">
        <f aca="false">IF(G126="","",MAX(0,I126-L126))</f>
        <v>3707419.23890091</v>
      </c>
      <c r="N126" s="14"/>
    </row>
    <row r="127" customFormat="false" ht="15" hidden="false" customHeight="false" outlineLevel="0" collapsed="false">
      <c r="G127" s="37" t="n">
        <f aca="false">IF(115&lt;=$B$6*12,115,"")</f>
        <v>115</v>
      </c>
      <c r="H127" s="37" t="n">
        <f aca="false">IF(G127="","",ROUNDUP(G127/12,0))</f>
        <v>10</v>
      </c>
      <c r="I127" s="14" t="n">
        <f aca="false">IF(G127="","",M126)</f>
        <v>3707419.23890091</v>
      </c>
      <c r="J127" s="14" t="n">
        <f aca="false">IF(G127="","",$E$5)</f>
        <v>46606.5593916759</v>
      </c>
      <c r="K127" s="14" t="n">
        <f aca="false">IF(G127="","",I127*$E$4/12)</f>
        <v>29350.4023079655</v>
      </c>
      <c r="L127" s="14" t="n">
        <f aca="false">IF(G127="","",J127-K127)</f>
        <v>17256.1570837104</v>
      </c>
      <c r="M127" s="14" t="n">
        <f aca="false">IF(G127="","",MAX(0,I127-L127))</f>
        <v>3690163.0818172</v>
      </c>
      <c r="N127" s="14"/>
    </row>
    <row r="128" customFormat="false" ht="15" hidden="false" customHeight="false" outlineLevel="0" collapsed="false">
      <c r="G128" s="37" t="n">
        <f aca="false">IF(116&lt;=$B$6*12,116,"")</f>
        <v>116</v>
      </c>
      <c r="H128" s="37" t="n">
        <f aca="false">IF(G128="","",ROUNDUP(G128/12,0))</f>
        <v>10</v>
      </c>
      <c r="I128" s="14" t="n">
        <f aca="false">IF(G128="","",M127)</f>
        <v>3690163.0818172</v>
      </c>
      <c r="J128" s="14" t="n">
        <f aca="false">IF(G128="","",$E$5)</f>
        <v>46606.5593916759</v>
      </c>
      <c r="K128" s="14" t="n">
        <f aca="false">IF(G128="","",I128*$E$4/12)</f>
        <v>29213.7910643862</v>
      </c>
      <c r="L128" s="14" t="n">
        <f aca="false">IF(G128="","",J128-K128)</f>
        <v>17392.7683272897</v>
      </c>
      <c r="M128" s="14" t="n">
        <f aca="false">IF(G128="","",MAX(0,I128-L128))</f>
        <v>3672770.31348991</v>
      </c>
      <c r="N128" s="14"/>
    </row>
    <row r="129" customFormat="false" ht="15" hidden="false" customHeight="false" outlineLevel="0" collapsed="false">
      <c r="G129" s="37" t="n">
        <f aca="false">IF(117&lt;=$B$6*12,117,"")</f>
        <v>117</v>
      </c>
      <c r="H129" s="37" t="n">
        <f aca="false">IF(G129="","",ROUNDUP(G129/12,0))</f>
        <v>10</v>
      </c>
      <c r="I129" s="14" t="n">
        <f aca="false">IF(G129="","",M128)</f>
        <v>3672770.31348991</v>
      </c>
      <c r="J129" s="14" t="n">
        <f aca="false">IF(G129="","",$E$5)</f>
        <v>46606.5593916759</v>
      </c>
      <c r="K129" s="14" t="n">
        <f aca="false">IF(G129="","",I129*$E$4/12)</f>
        <v>29076.0983151285</v>
      </c>
      <c r="L129" s="14" t="n">
        <f aca="false">IF(G129="","",J129-K129)</f>
        <v>17530.4610765475</v>
      </c>
      <c r="M129" s="14" t="n">
        <f aca="false">IF(G129="","",MAX(0,I129-L129))</f>
        <v>3655239.85241336</v>
      </c>
      <c r="N129" s="14"/>
    </row>
    <row r="130" customFormat="false" ht="15" hidden="false" customHeight="false" outlineLevel="0" collapsed="false">
      <c r="G130" s="37" t="n">
        <f aca="false">IF(118&lt;=$B$6*12,118,"")</f>
        <v>118</v>
      </c>
      <c r="H130" s="37" t="n">
        <f aca="false">IF(G130="","",ROUNDUP(G130/12,0))</f>
        <v>10</v>
      </c>
      <c r="I130" s="14" t="n">
        <f aca="false">IF(G130="","",M129)</f>
        <v>3655239.85241336</v>
      </c>
      <c r="J130" s="14" t="n">
        <f aca="false">IF(G130="","",$E$5)</f>
        <v>46606.5593916759</v>
      </c>
      <c r="K130" s="14" t="n">
        <f aca="false">IF(G130="","",I130*$E$4/12)</f>
        <v>28937.3154982724</v>
      </c>
      <c r="L130" s="14" t="n">
        <f aca="false">IF(G130="","",J130-K130)</f>
        <v>17669.2438934035</v>
      </c>
      <c r="M130" s="14" t="n">
        <f aca="false">IF(G130="","",MAX(0,I130-L130))</f>
        <v>3637570.60851996</v>
      </c>
      <c r="N130" s="14"/>
    </row>
    <row r="131" customFormat="false" ht="15" hidden="false" customHeight="false" outlineLevel="0" collapsed="false">
      <c r="G131" s="37" t="n">
        <f aca="false">IF(119&lt;=$B$6*12,119,"")</f>
        <v>119</v>
      </c>
      <c r="H131" s="37" t="n">
        <f aca="false">IF(G131="","",ROUNDUP(G131/12,0))</f>
        <v>10</v>
      </c>
      <c r="I131" s="14" t="n">
        <f aca="false">IF(G131="","",M130)</f>
        <v>3637570.60851996</v>
      </c>
      <c r="J131" s="14" t="n">
        <f aca="false">IF(G131="","",$E$5)</f>
        <v>46606.5593916759</v>
      </c>
      <c r="K131" s="14" t="n">
        <f aca="false">IF(G131="","",I131*$E$4/12)</f>
        <v>28797.4339841163</v>
      </c>
      <c r="L131" s="14" t="n">
        <f aca="false">IF(G131="","",J131-K131)</f>
        <v>17809.1254075596</v>
      </c>
      <c r="M131" s="14" t="n">
        <f aca="false">IF(G131="","",MAX(0,I131-L131))</f>
        <v>3619761.4831124</v>
      </c>
      <c r="N131" s="14"/>
    </row>
    <row r="132" customFormat="false" ht="15" hidden="false" customHeight="false" outlineLevel="0" collapsed="false">
      <c r="G132" s="37" t="n">
        <f aca="false">IF(120&lt;=$B$6*12,120,"")</f>
        <v>120</v>
      </c>
      <c r="H132" s="37" t="n">
        <f aca="false">IF(G132="","",ROUNDUP(G132/12,0))</f>
        <v>10</v>
      </c>
      <c r="I132" s="14" t="n">
        <f aca="false">IF(G132="","",M131)</f>
        <v>3619761.4831124</v>
      </c>
      <c r="J132" s="14" t="n">
        <f aca="false">IF(G132="","",$E$5)</f>
        <v>46606.5593916759</v>
      </c>
      <c r="K132" s="14" t="n">
        <f aca="false">IF(G132="","",I132*$E$4/12)</f>
        <v>28656.4450746398</v>
      </c>
      <c r="L132" s="14" t="n">
        <f aca="false">IF(G132="","",J132-K132)</f>
        <v>17950.1143170361</v>
      </c>
      <c r="M132" s="14" t="n">
        <f aca="false">IF(G132="","",MAX(0,I132-L132))</f>
        <v>3601811.36879536</v>
      </c>
      <c r="N132" s="14"/>
    </row>
    <row r="133" customFormat="false" ht="15" hidden="false" customHeight="false" outlineLevel="0" collapsed="false">
      <c r="G133" s="37" t="n">
        <f aca="false">IF(121&lt;=$B$6*12,121,"")</f>
        <v>121</v>
      </c>
      <c r="H133" s="37" t="n">
        <f aca="false">IF(G133="","",ROUNDUP(G133/12,0))</f>
        <v>11</v>
      </c>
      <c r="I133" s="14" t="n">
        <f aca="false">IF(G133="","",M132)</f>
        <v>3601811.36879536</v>
      </c>
      <c r="J133" s="14" t="n">
        <f aca="false">IF(G133="","",$E$5)</f>
        <v>46606.5593916759</v>
      </c>
      <c r="K133" s="14" t="n">
        <f aca="false">IF(G133="","",I133*$E$4/12)</f>
        <v>28514.3400029633</v>
      </c>
      <c r="L133" s="14" t="n">
        <f aca="false">IF(G133="","",J133-K133)</f>
        <v>18092.2193887126</v>
      </c>
      <c r="M133" s="14" t="n">
        <f aca="false">IF(G133="","",MAX(0,I133-L133))</f>
        <v>3583719.14940665</v>
      </c>
      <c r="N133" s="14"/>
    </row>
    <row r="134" customFormat="false" ht="15" hidden="false" customHeight="false" outlineLevel="0" collapsed="false">
      <c r="G134" s="37" t="n">
        <f aca="false">IF(122&lt;=$B$6*12,122,"")</f>
        <v>122</v>
      </c>
      <c r="H134" s="37" t="n">
        <f aca="false">IF(G134="","",ROUNDUP(G134/12,0))</f>
        <v>11</v>
      </c>
      <c r="I134" s="14" t="n">
        <f aca="false">IF(G134="","",M133)</f>
        <v>3583719.14940665</v>
      </c>
      <c r="J134" s="14" t="n">
        <f aca="false">IF(G134="","",$E$5)</f>
        <v>46606.5593916759</v>
      </c>
      <c r="K134" s="14" t="n">
        <f aca="false">IF(G134="","",I134*$E$4/12)</f>
        <v>28371.1099328026</v>
      </c>
      <c r="L134" s="14" t="n">
        <f aca="false">IF(G134="","",J134-K134)</f>
        <v>18235.4494588733</v>
      </c>
      <c r="M134" s="14" t="n">
        <f aca="false">IF(G134="","",MAX(0,I134-L134))</f>
        <v>3565483.69994778</v>
      </c>
      <c r="N134" s="14"/>
    </row>
    <row r="135" customFormat="false" ht="15" hidden="false" customHeight="false" outlineLevel="0" collapsed="false">
      <c r="G135" s="37" t="n">
        <f aca="false">IF(123&lt;=$B$6*12,123,"")</f>
        <v>123</v>
      </c>
      <c r="H135" s="37" t="n">
        <f aca="false">IF(G135="","",ROUNDUP(G135/12,0))</f>
        <v>11</v>
      </c>
      <c r="I135" s="14" t="n">
        <f aca="false">IF(G135="","",M134)</f>
        <v>3565483.69994778</v>
      </c>
      <c r="J135" s="14" t="n">
        <f aca="false">IF(G135="","",$E$5)</f>
        <v>46606.5593916759</v>
      </c>
      <c r="K135" s="14" t="n">
        <f aca="false">IF(G135="","",I135*$E$4/12)</f>
        <v>28226.7459579199</v>
      </c>
      <c r="L135" s="14" t="n">
        <f aca="false">IF(G135="","",J135-K135)</f>
        <v>18379.813433756</v>
      </c>
      <c r="M135" s="14" t="n">
        <f aca="false">IF(G135="","",MAX(0,I135-L135))</f>
        <v>3547103.88651402</v>
      </c>
      <c r="N135" s="14"/>
    </row>
    <row r="136" customFormat="false" ht="15" hidden="false" customHeight="false" outlineLevel="0" collapsed="false">
      <c r="G136" s="37" t="n">
        <f aca="false">IF(124&lt;=$B$6*12,124,"")</f>
        <v>124</v>
      </c>
      <c r="H136" s="37" t="n">
        <f aca="false">IF(G136="","",ROUNDUP(G136/12,0))</f>
        <v>11</v>
      </c>
      <c r="I136" s="14" t="n">
        <f aca="false">IF(G136="","",M135)</f>
        <v>3547103.88651402</v>
      </c>
      <c r="J136" s="14" t="n">
        <f aca="false">IF(G136="","",$E$5)</f>
        <v>46606.5593916759</v>
      </c>
      <c r="K136" s="14" t="n">
        <f aca="false">IF(G136="","",I136*$E$4/12)</f>
        <v>28081.2391015693</v>
      </c>
      <c r="L136" s="14" t="n">
        <f aca="false">IF(G136="","",J136-K136)</f>
        <v>18525.3202901066</v>
      </c>
      <c r="M136" s="14" t="n">
        <f aca="false">IF(G136="","",MAX(0,I136-L136))</f>
        <v>3528578.56622391</v>
      </c>
      <c r="N136" s="14"/>
    </row>
    <row r="137" customFormat="false" ht="15" hidden="false" customHeight="false" outlineLevel="0" collapsed="false">
      <c r="G137" s="37" t="n">
        <f aca="false">IF(125&lt;=$B$6*12,125,"")</f>
        <v>125</v>
      </c>
      <c r="H137" s="37" t="n">
        <f aca="false">IF(G137="","",ROUNDUP(G137/12,0))</f>
        <v>11</v>
      </c>
      <c r="I137" s="14" t="n">
        <f aca="false">IF(G137="","",M136)</f>
        <v>3528578.56622391</v>
      </c>
      <c r="J137" s="14" t="n">
        <f aca="false">IF(G137="","",$E$5)</f>
        <v>46606.5593916759</v>
      </c>
      <c r="K137" s="14" t="n">
        <f aca="false">IF(G137="","",I137*$E$4/12)</f>
        <v>27934.5803159393</v>
      </c>
      <c r="L137" s="14" t="n">
        <f aca="false">IF(G137="","",J137-K137)</f>
        <v>18671.9790757366</v>
      </c>
      <c r="M137" s="14" t="n">
        <f aca="false">IF(G137="","",MAX(0,I137-L137))</f>
        <v>3509906.58714818</v>
      </c>
      <c r="N137" s="14"/>
    </row>
    <row r="138" customFormat="false" ht="15" hidden="false" customHeight="false" outlineLevel="0" collapsed="false">
      <c r="G138" s="37" t="n">
        <f aca="false">IF(126&lt;=$B$6*12,126,"")</f>
        <v>126</v>
      </c>
      <c r="H138" s="37" t="n">
        <f aca="false">IF(G138="","",ROUNDUP(G138/12,0))</f>
        <v>11</v>
      </c>
      <c r="I138" s="14" t="n">
        <f aca="false">IF(G138="","",M137)</f>
        <v>3509906.58714818</v>
      </c>
      <c r="J138" s="14" t="n">
        <f aca="false">IF(G138="","",$E$5)</f>
        <v>46606.5593916759</v>
      </c>
      <c r="K138" s="14" t="n">
        <f aca="false">IF(G138="","",I138*$E$4/12)</f>
        <v>27786.7604815897</v>
      </c>
      <c r="L138" s="14" t="n">
        <f aca="false">IF(G138="","",J138-K138)</f>
        <v>18819.7989100862</v>
      </c>
      <c r="M138" s="14" t="n">
        <f aca="false">IF(G138="","",MAX(0,I138-L138))</f>
        <v>3491086.78823809</v>
      </c>
      <c r="N138" s="14"/>
    </row>
    <row r="139" customFormat="false" ht="15" hidden="false" customHeight="false" outlineLevel="0" collapsed="false">
      <c r="G139" s="37" t="n">
        <f aca="false">IF(127&lt;=$B$6*12,127,"")</f>
        <v>127</v>
      </c>
      <c r="H139" s="37" t="n">
        <f aca="false">IF(G139="","",ROUNDUP(G139/12,0))</f>
        <v>11</v>
      </c>
      <c r="I139" s="14" t="n">
        <f aca="false">IF(G139="","",M138)</f>
        <v>3491086.78823809</v>
      </c>
      <c r="J139" s="14" t="n">
        <f aca="false">IF(G139="","",$E$5)</f>
        <v>46606.5593916759</v>
      </c>
      <c r="K139" s="14" t="n">
        <f aca="false">IF(G139="","",I139*$E$4/12)</f>
        <v>27637.7704068849</v>
      </c>
      <c r="L139" s="14" t="n">
        <f aca="false">IF(G139="","",J139-K139)</f>
        <v>18968.788984791</v>
      </c>
      <c r="M139" s="14" t="n">
        <f aca="false">IF(G139="","",MAX(0,I139-L139))</f>
        <v>3472117.9992533</v>
      </c>
      <c r="N139" s="14"/>
    </row>
    <row r="140" customFormat="false" ht="15" hidden="false" customHeight="false" outlineLevel="0" collapsed="false">
      <c r="G140" s="37" t="n">
        <f aca="false">IF(128&lt;=$B$6*12,128,"")</f>
        <v>128</v>
      </c>
      <c r="H140" s="37" t="n">
        <f aca="false">IF(G140="","",ROUNDUP(G140/12,0))</f>
        <v>11</v>
      </c>
      <c r="I140" s="14" t="n">
        <f aca="false">IF(G140="","",M139)</f>
        <v>3472117.9992533</v>
      </c>
      <c r="J140" s="14" t="n">
        <f aca="false">IF(G140="","",$E$5)</f>
        <v>46606.5593916759</v>
      </c>
      <c r="K140" s="14" t="n">
        <f aca="false">IF(G140="","",I140*$E$4/12)</f>
        <v>27487.600827422</v>
      </c>
      <c r="L140" s="14" t="n">
        <f aca="false">IF(G140="","",J140-K140)</f>
        <v>19118.9585642539</v>
      </c>
      <c r="M140" s="14" t="n">
        <f aca="false">IF(G140="","",MAX(0,I140-L140))</f>
        <v>3452999.04068905</v>
      </c>
      <c r="N140" s="14"/>
    </row>
    <row r="141" customFormat="false" ht="15" hidden="false" customHeight="false" outlineLevel="0" collapsed="false">
      <c r="G141" s="37" t="n">
        <f aca="false">IF(129&lt;=$B$6*12,129,"")</f>
        <v>129</v>
      </c>
      <c r="H141" s="37" t="n">
        <f aca="false">IF(G141="","",ROUNDUP(G141/12,0))</f>
        <v>11</v>
      </c>
      <c r="I141" s="14" t="n">
        <f aca="false">IF(G141="","",M140)</f>
        <v>3452999.04068905</v>
      </c>
      <c r="J141" s="14" t="n">
        <f aca="false">IF(G141="","",$E$5)</f>
        <v>46606.5593916759</v>
      </c>
      <c r="K141" s="14" t="n">
        <f aca="false">IF(G141="","",I141*$E$4/12)</f>
        <v>27336.242405455</v>
      </c>
      <c r="L141" s="14" t="n">
        <f aca="false">IF(G141="","",J141-K141)</f>
        <v>19270.316986221</v>
      </c>
      <c r="M141" s="14" t="n">
        <f aca="false">IF(G141="","",MAX(0,I141-L141))</f>
        <v>3433728.72370283</v>
      </c>
      <c r="N141" s="14"/>
    </row>
    <row r="142" customFormat="false" ht="15" hidden="false" customHeight="false" outlineLevel="0" collapsed="false">
      <c r="G142" s="37" t="n">
        <f aca="false">IF(130&lt;=$B$6*12,130,"")</f>
        <v>130</v>
      </c>
      <c r="H142" s="37" t="n">
        <f aca="false">IF(G142="","",ROUNDUP(G142/12,0))</f>
        <v>11</v>
      </c>
      <c r="I142" s="14" t="n">
        <f aca="false">IF(G142="","",M141)</f>
        <v>3433728.72370283</v>
      </c>
      <c r="J142" s="14" t="n">
        <f aca="false">IF(G142="","",$E$5)</f>
        <v>46606.5593916759</v>
      </c>
      <c r="K142" s="14" t="n">
        <f aca="false">IF(G142="","",I142*$E$4/12)</f>
        <v>27183.685729314</v>
      </c>
      <c r="L142" s="14" t="n">
        <f aca="false">IF(G142="","",J142-K142)</f>
        <v>19422.8736623619</v>
      </c>
      <c r="M142" s="14" t="n">
        <f aca="false">IF(G142="","",MAX(0,I142-L142))</f>
        <v>3414305.85004046</v>
      </c>
      <c r="N142" s="14"/>
    </row>
    <row r="143" customFormat="false" ht="15" hidden="false" customHeight="false" outlineLevel="0" collapsed="false">
      <c r="G143" s="37" t="n">
        <f aca="false">IF(131&lt;=$B$6*12,131,"")</f>
        <v>131</v>
      </c>
      <c r="H143" s="37" t="n">
        <f aca="false">IF(G143="","",ROUNDUP(G143/12,0))</f>
        <v>11</v>
      </c>
      <c r="I143" s="14" t="n">
        <f aca="false">IF(G143="","",M142)</f>
        <v>3414305.85004046</v>
      </c>
      <c r="J143" s="14" t="n">
        <f aca="false">IF(G143="","",$E$5)</f>
        <v>46606.5593916759</v>
      </c>
      <c r="K143" s="14" t="n">
        <f aca="false">IF(G143="","",I143*$E$4/12)</f>
        <v>27029.9213128203</v>
      </c>
      <c r="L143" s="14" t="n">
        <f aca="false">IF(G143="","",J143-K143)</f>
        <v>19576.6380788556</v>
      </c>
      <c r="M143" s="14" t="n">
        <f aca="false">IF(G143="","",MAX(0,I143-L143))</f>
        <v>3394729.21196161</v>
      </c>
      <c r="N143" s="14"/>
    </row>
    <row r="144" customFormat="false" ht="15" hidden="false" customHeight="false" outlineLevel="0" collapsed="false">
      <c r="G144" s="37" t="n">
        <f aca="false">IF(132&lt;=$B$6*12,132,"")</f>
        <v>132</v>
      </c>
      <c r="H144" s="37" t="n">
        <f aca="false">IF(G144="","",ROUNDUP(G144/12,0))</f>
        <v>11</v>
      </c>
      <c r="I144" s="14" t="n">
        <f aca="false">IF(G144="","",M143)</f>
        <v>3394729.21196161</v>
      </c>
      <c r="J144" s="14" t="n">
        <f aca="false">IF(G144="","",$E$5)</f>
        <v>46606.5593916759</v>
      </c>
      <c r="K144" s="14" t="n">
        <f aca="false">IF(G144="","",I144*$E$4/12)</f>
        <v>26874.9395946961</v>
      </c>
      <c r="L144" s="14" t="n">
        <f aca="false">IF(G144="","",J144-K144)</f>
        <v>19731.6197969798</v>
      </c>
      <c r="M144" s="14" t="n">
        <f aca="false">IF(G144="","",MAX(0,I144-L144))</f>
        <v>3374997.59216463</v>
      </c>
      <c r="N144" s="14"/>
    </row>
    <row r="145" customFormat="false" ht="15" hidden="false" customHeight="false" outlineLevel="0" collapsed="false">
      <c r="G145" s="37" t="n">
        <f aca="false">IF(133&lt;=$B$6*12,133,"")</f>
        <v>133</v>
      </c>
      <c r="H145" s="37" t="n">
        <f aca="false">IF(G145="","",ROUNDUP(G145/12,0))</f>
        <v>12</v>
      </c>
      <c r="I145" s="14" t="n">
        <f aca="false">IF(G145="","",M144)</f>
        <v>3374997.59216463</v>
      </c>
      <c r="J145" s="14" t="n">
        <f aca="false">IF(G145="","",$E$5)</f>
        <v>46606.5593916759</v>
      </c>
      <c r="K145" s="14" t="n">
        <f aca="false">IF(G145="","",I145*$E$4/12)</f>
        <v>26718.73093797</v>
      </c>
      <c r="L145" s="14" t="n">
        <f aca="false">IF(G145="","",J145-K145)</f>
        <v>19887.8284537059</v>
      </c>
      <c r="M145" s="14" t="n">
        <f aca="false">IF(G145="","",MAX(0,I145-L145))</f>
        <v>3355109.76371092</v>
      </c>
      <c r="N145" s="14"/>
    </row>
    <row r="146" customFormat="false" ht="15" hidden="false" customHeight="false" outlineLevel="0" collapsed="false">
      <c r="G146" s="37" t="n">
        <f aca="false">IF(134&lt;=$B$6*12,134,"")</f>
        <v>134</v>
      </c>
      <c r="H146" s="37" t="n">
        <f aca="false">IF(G146="","",ROUNDUP(G146/12,0))</f>
        <v>12</v>
      </c>
      <c r="I146" s="14" t="n">
        <f aca="false">IF(G146="","",M145)</f>
        <v>3355109.76371092</v>
      </c>
      <c r="J146" s="14" t="n">
        <f aca="false">IF(G146="","",$E$5)</f>
        <v>46606.5593916759</v>
      </c>
      <c r="K146" s="14" t="n">
        <f aca="false">IF(G146="","",I146*$E$4/12)</f>
        <v>26561.2856293781</v>
      </c>
      <c r="L146" s="14" t="n">
        <f aca="false">IF(G146="","",J146-K146)</f>
        <v>20045.2737622978</v>
      </c>
      <c r="M146" s="14" t="n">
        <f aca="false">IF(G146="","",MAX(0,I146-L146))</f>
        <v>3335064.48994862</v>
      </c>
      <c r="N146" s="14"/>
    </row>
    <row r="147" customFormat="false" ht="15" hidden="false" customHeight="false" outlineLevel="0" collapsed="false">
      <c r="G147" s="37" t="n">
        <f aca="false">IF(135&lt;=$B$6*12,135,"")</f>
        <v>135</v>
      </c>
      <c r="H147" s="37" t="n">
        <f aca="false">IF(G147="","",ROUNDUP(G147/12,0))</f>
        <v>12</v>
      </c>
      <c r="I147" s="14" t="n">
        <f aca="false">IF(G147="","",M146)</f>
        <v>3335064.48994862</v>
      </c>
      <c r="J147" s="14" t="n">
        <f aca="false">IF(G147="","",$E$5)</f>
        <v>46606.5593916759</v>
      </c>
      <c r="K147" s="14" t="n">
        <f aca="false">IF(G147="","",I147*$E$4/12)</f>
        <v>26402.5938787599</v>
      </c>
      <c r="L147" s="14" t="n">
        <f aca="false">IF(G147="","",J147-K147)</f>
        <v>20203.965512916</v>
      </c>
      <c r="M147" s="14" t="n">
        <f aca="false">IF(G147="","",MAX(0,I147-L147))</f>
        <v>3314860.52443571</v>
      </c>
      <c r="N147" s="14"/>
    </row>
    <row r="148" customFormat="false" ht="15" hidden="false" customHeight="false" outlineLevel="0" collapsed="false">
      <c r="G148" s="37" t="n">
        <f aca="false">IF(136&lt;=$B$6*12,136,"")</f>
        <v>136</v>
      </c>
      <c r="H148" s="37" t="n">
        <f aca="false">IF(G148="","",ROUNDUP(G148/12,0))</f>
        <v>12</v>
      </c>
      <c r="I148" s="14" t="n">
        <f aca="false">IF(G148="","",M147)</f>
        <v>3314860.52443571</v>
      </c>
      <c r="J148" s="14" t="n">
        <f aca="false">IF(G148="","",$E$5)</f>
        <v>46606.5593916759</v>
      </c>
      <c r="K148" s="14" t="n">
        <f aca="false">IF(G148="","",I148*$E$4/12)</f>
        <v>26242.6458184494</v>
      </c>
      <c r="L148" s="14" t="n">
        <f aca="false">IF(G148="","",J148-K148)</f>
        <v>20363.9135732265</v>
      </c>
      <c r="M148" s="14" t="n">
        <f aca="false">IF(G148="","",MAX(0,I148-L148))</f>
        <v>3294496.61086248</v>
      </c>
      <c r="N148" s="14"/>
    </row>
    <row r="149" customFormat="false" ht="15" hidden="false" customHeight="false" outlineLevel="0" collapsed="false">
      <c r="G149" s="37" t="n">
        <f aca="false">IF(137&lt;=$B$6*12,137,"")</f>
        <v>137</v>
      </c>
      <c r="H149" s="37" t="n">
        <f aca="false">IF(G149="","",ROUNDUP(G149/12,0))</f>
        <v>12</v>
      </c>
      <c r="I149" s="14" t="n">
        <f aca="false">IF(G149="","",M148)</f>
        <v>3294496.61086248</v>
      </c>
      <c r="J149" s="14" t="n">
        <f aca="false">IF(G149="","",$E$5)</f>
        <v>46606.5593916759</v>
      </c>
      <c r="K149" s="14" t="n">
        <f aca="false">IF(G149="","",I149*$E$4/12)</f>
        <v>26081.4315026613</v>
      </c>
      <c r="L149" s="14" t="n">
        <f aca="false">IF(G149="","",J149-K149)</f>
        <v>20525.1278890146</v>
      </c>
      <c r="M149" s="14" t="n">
        <f aca="false">IF(G149="","",MAX(0,I149-L149))</f>
        <v>3273971.48297347</v>
      </c>
      <c r="N149" s="14"/>
    </row>
    <row r="150" customFormat="false" ht="15" hidden="false" customHeight="false" outlineLevel="0" collapsed="false">
      <c r="G150" s="37" t="n">
        <f aca="false">IF(138&lt;=$B$6*12,138,"")</f>
        <v>138</v>
      </c>
      <c r="H150" s="37" t="n">
        <f aca="false">IF(G150="","",ROUNDUP(G150/12,0))</f>
        <v>12</v>
      </c>
      <c r="I150" s="14" t="n">
        <f aca="false">IF(G150="","",M149)</f>
        <v>3273971.48297347</v>
      </c>
      <c r="J150" s="14" t="n">
        <f aca="false">IF(G150="","",$E$5)</f>
        <v>46606.5593916759</v>
      </c>
      <c r="K150" s="14" t="n">
        <f aca="false">IF(G150="","",I150*$E$4/12)</f>
        <v>25918.9409068733</v>
      </c>
      <c r="L150" s="14" t="n">
        <f aca="false">IF(G150="","",J150-K150)</f>
        <v>20687.6184848026</v>
      </c>
      <c r="M150" s="14" t="n">
        <f aca="false">IF(G150="","",MAX(0,I150-L150))</f>
        <v>3253283.86448867</v>
      </c>
      <c r="N150" s="14"/>
    </row>
    <row r="151" customFormat="false" ht="15" hidden="false" customHeight="false" outlineLevel="0" collapsed="false">
      <c r="G151" s="37" t="n">
        <f aca="false">IF(139&lt;=$B$6*12,139,"")</f>
        <v>139</v>
      </c>
      <c r="H151" s="37" t="n">
        <f aca="false">IF(G151="","",ROUNDUP(G151/12,0))</f>
        <v>12</v>
      </c>
      <c r="I151" s="14" t="n">
        <f aca="false">IF(G151="","",M150)</f>
        <v>3253283.86448867</v>
      </c>
      <c r="J151" s="14" t="n">
        <f aca="false">IF(G151="","",$E$5)</f>
        <v>46606.5593916759</v>
      </c>
      <c r="K151" s="14" t="n">
        <f aca="false">IF(G151="","",I151*$E$4/12)</f>
        <v>25755.1639272019</v>
      </c>
      <c r="L151" s="14" t="n">
        <f aca="false">IF(G151="","",J151-K151)</f>
        <v>20851.395464474</v>
      </c>
      <c r="M151" s="14" t="n">
        <f aca="false">IF(G151="","",MAX(0,I151-L151))</f>
        <v>3232432.46902419</v>
      </c>
      <c r="N151" s="14"/>
    </row>
    <row r="152" customFormat="false" ht="15" hidden="false" customHeight="false" outlineLevel="0" collapsed="false">
      <c r="G152" s="37" t="n">
        <f aca="false">IF(140&lt;=$B$6*12,140,"")</f>
        <v>140</v>
      </c>
      <c r="H152" s="37" t="n">
        <f aca="false">IF(G152="","",ROUNDUP(G152/12,0))</f>
        <v>12</v>
      </c>
      <c r="I152" s="14" t="n">
        <f aca="false">IF(G152="","",M151)</f>
        <v>3232432.46902419</v>
      </c>
      <c r="J152" s="14" t="n">
        <f aca="false">IF(G152="","",$E$5)</f>
        <v>46606.5593916759</v>
      </c>
      <c r="K152" s="14" t="n">
        <f aca="false">IF(G152="","",I152*$E$4/12)</f>
        <v>25590.0903797748</v>
      </c>
      <c r="L152" s="14" t="n">
        <f aca="false">IF(G152="","",J152-K152)</f>
        <v>21016.4690119011</v>
      </c>
      <c r="M152" s="14" t="n">
        <f aca="false">IF(G152="","",MAX(0,I152-L152))</f>
        <v>3211416.00001229</v>
      </c>
      <c r="N152" s="14"/>
    </row>
    <row r="153" customFormat="false" ht="15" hidden="false" customHeight="false" outlineLevel="0" collapsed="false">
      <c r="G153" s="37" t="n">
        <f aca="false">IF(141&lt;=$B$6*12,141,"")</f>
        <v>141</v>
      </c>
      <c r="H153" s="37" t="n">
        <f aca="false">IF(G153="","",ROUNDUP(G153/12,0))</f>
        <v>12</v>
      </c>
      <c r="I153" s="14" t="n">
        <f aca="false">IF(G153="","",M152)</f>
        <v>3211416.00001229</v>
      </c>
      <c r="J153" s="14" t="n">
        <f aca="false">IF(G153="","",$E$5)</f>
        <v>46606.5593916759</v>
      </c>
      <c r="K153" s="14" t="n">
        <f aca="false">IF(G153="","",I153*$E$4/12)</f>
        <v>25423.7100000973</v>
      </c>
      <c r="L153" s="14" t="n">
        <f aca="false">IF(G153="","",J153-K153)</f>
        <v>21182.8493915786</v>
      </c>
      <c r="M153" s="14" t="n">
        <f aca="false">IF(G153="","",MAX(0,I153-L153))</f>
        <v>3190233.15062071</v>
      </c>
      <c r="N153" s="14"/>
    </row>
    <row r="154" customFormat="false" ht="15" hidden="false" customHeight="false" outlineLevel="0" collapsed="false">
      <c r="G154" s="37" t="n">
        <f aca="false">IF(142&lt;=$B$6*12,142,"")</f>
        <v>142</v>
      </c>
      <c r="H154" s="37" t="n">
        <f aca="false">IF(G154="","",ROUNDUP(G154/12,0))</f>
        <v>12</v>
      </c>
      <c r="I154" s="14" t="n">
        <f aca="false">IF(G154="","",M153)</f>
        <v>3190233.15062071</v>
      </c>
      <c r="J154" s="14" t="n">
        <f aca="false">IF(G154="","",$E$5)</f>
        <v>46606.5593916759</v>
      </c>
      <c r="K154" s="14" t="n">
        <f aca="false">IF(G154="","",I154*$E$4/12)</f>
        <v>25256.012442414</v>
      </c>
      <c r="L154" s="14" t="n">
        <f aca="false">IF(G154="","",J154-K154)</f>
        <v>21350.5469492619</v>
      </c>
      <c r="M154" s="14" t="n">
        <f aca="false">IF(G154="","",MAX(0,I154-L154))</f>
        <v>3168882.60367145</v>
      </c>
      <c r="N154" s="14"/>
    </row>
    <row r="155" customFormat="false" ht="15" hidden="false" customHeight="false" outlineLevel="0" collapsed="false">
      <c r="G155" s="37" t="n">
        <f aca="false">IF(143&lt;=$B$6*12,143,"")</f>
        <v>143</v>
      </c>
      <c r="H155" s="37" t="n">
        <f aca="false">IF(G155="","",ROUNDUP(G155/12,0))</f>
        <v>12</v>
      </c>
      <c r="I155" s="14" t="n">
        <f aca="false">IF(G155="","",M154)</f>
        <v>3168882.60367145</v>
      </c>
      <c r="J155" s="14" t="n">
        <f aca="false">IF(G155="","",$E$5)</f>
        <v>46606.5593916759</v>
      </c>
      <c r="K155" s="14" t="n">
        <f aca="false">IF(G155="","",I155*$E$4/12)</f>
        <v>25086.9872790656</v>
      </c>
      <c r="L155" s="14" t="n">
        <f aca="false">IF(G155="","",J155-K155)</f>
        <v>21519.5721126103</v>
      </c>
      <c r="M155" s="14" t="n">
        <f aca="false">IF(G155="","",MAX(0,I155-L155))</f>
        <v>3147363.03155884</v>
      </c>
      <c r="N155" s="14"/>
    </row>
    <row r="156" customFormat="false" ht="15" hidden="false" customHeight="false" outlineLevel="0" collapsed="false">
      <c r="G156" s="37" t="n">
        <f aca="false">IF(144&lt;=$B$6*12,144,"")</f>
        <v>144</v>
      </c>
      <c r="H156" s="37" t="n">
        <f aca="false">IF(G156="","",ROUNDUP(G156/12,0))</f>
        <v>12</v>
      </c>
      <c r="I156" s="14" t="n">
        <f aca="false">IF(G156="","",M155)</f>
        <v>3147363.03155884</v>
      </c>
      <c r="J156" s="14" t="n">
        <f aca="false">IF(G156="","",$E$5)</f>
        <v>46606.5593916759</v>
      </c>
      <c r="K156" s="14" t="n">
        <f aca="false">IF(G156="","",I156*$E$4/12)</f>
        <v>24916.6239998408</v>
      </c>
      <c r="L156" s="14" t="n">
        <f aca="false">IF(G156="","",J156-K156)</f>
        <v>21689.9353918351</v>
      </c>
      <c r="M156" s="14" t="n">
        <f aca="false">IF(G156="","",MAX(0,I156-L156))</f>
        <v>3125673.096167</v>
      </c>
      <c r="N156" s="14"/>
    </row>
    <row r="157" customFormat="false" ht="15" hidden="false" customHeight="false" outlineLevel="0" collapsed="false">
      <c r="G157" s="37" t="n">
        <f aca="false">IF(145&lt;=$B$6*12,145,"")</f>
        <v>145</v>
      </c>
      <c r="H157" s="37" t="n">
        <f aca="false">IF(G157="","",ROUNDUP(G157/12,0))</f>
        <v>13</v>
      </c>
      <c r="I157" s="14" t="n">
        <f aca="false">IF(G157="","",M156)</f>
        <v>3125673.096167</v>
      </c>
      <c r="J157" s="14" t="n">
        <f aca="false">IF(G157="","",$E$5)</f>
        <v>46606.5593916759</v>
      </c>
      <c r="K157" s="14" t="n">
        <f aca="false">IF(G157="","",I157*$E$4/12)</f>
        <v>24744.9120113221</v>
      </c>
      <c r="L157" s="14" t="n">
        <f aca="false">IF(G157="","",J157-K157)</f>
        <v>21861.6473803538</v>
      </c>
      <c r="M157" s="14" t="n">
        <f aca="false">IF(G157="","",MAX(0,I157-L157))</f>
        <v>3103811.44878665</v>
      </c>
      <c r="N157" s="14"/>
    </row>
    <row r="158" customFormat="false" ht="15" hidden="false" customHeight="false" outlineLevel="0" collapsed="false">
      <c r="G158" s="37" t="n">
        <f aca="false">IF(146&lt;=$B$6*12,146,"")</f>
        <v>146</v>
      </c>
      <c r="H158" s="37" t="n">
        <f aca="false">IF(G158="","",ROUNDUP(G158/12,0))</f>
        <v>13</v>
      </c>
      <c r="I158" s="14" t="n">
        <f aca="false">IF(G158="","",M157)</f>
        <v>3103811.44878665</v>
      </c>
      <c r="J158" s="14" t="n">
        <f aca="false">IF(G158="","",$E$5)</f>
        <v>46606.5593916759</v>
      </c>
      <c r="K158" s="14" t="n">
        <f aca="false">IF(G158="","",I158*$E$4/12)</f>
        <v>24571.8406362277</v>
      </c>
      <c r="L158" s="14" t="n">
        <f aca="false">IF(G158="","",J158-K158)</f>
        <v>22034.7187554482</v>
      </c>
      <c r="M158" s="14" t="n">
        <f aca="false">IF(G158="","",MAX(0,I158-L158))</f>
        <v>3081776.7300312</v>
      </c>
      <c r="N158" s="14"/>
    </row>
    <row r="159" customFormat="false" ht="15" hidden="false" customHeight="false" outlineLevel="0" collapsed="false">
      <c r="G159" s="37" t="n">
        <f aca="false">IF(147&lt;=$B$6*12,147,"")</f>
        <v>147</v>
      </c>
      <c r="H159" s="37" t="n">
        <f aca="false">IF(G159="","",ROUNDUP(G159/12,0))</f>
        <v>13</v>
      </c>
      <c r="I159" s="14" t="n">
        <f aca="false">IF(G159="","",M158)</f>
        <v>3081776.7300312</v>
      </c>
      <c r="J159" s="14" t="n">
        <f aca="false">IF(G159="","",$E$5)</f>
        <v>46606.5593916759</v>
      </c>
      <c r="K159" s="14" t="n">
        <f aca="false">IF(G159="","",I159*$E$4/12)</f>
        <v>24397.399112747</v>
      </c>
      <c r="L159" s="14" t="n">
        <f aca="false">IF(G159="","",J159-K159)</f>
        <v>22209.1602789289</v>
      </c>
      <c r="M159" s="14" t="n">
        <f aca="false">IF(G159="","",MAX(0,I159-L159))</f>
        <v>3059567.56975227</v>
      </c>
      <c r="N159" s="14"/>
    </row>
    <row r="160" customFormat="false" ht="15" hidden="false" customHeight="false" outlineLevel="0" collapsed="false">
      <c r="G160" s="37" t="n">
        <f aca="false">IF(148&lt;=$B$6*12,148,"")</f>
        <v>148</v>
      </c>
      <c r="H160" s="37" t="n">
        <f aca="false">IF(G160="","",ROUNDUP(G160/12,0))</f>
        <v>13</v>
      </c>
      <c r="I160" s="14" t="n">
        <f aca="false">IF(G160="","",M159)</f>
        <v>3059567.56975227</v>
      </c>
      <c r="J160" s="14" t="n">
        <f aca="false">IF(G160="","",$E$5)</f>
        <v>46606.5593916759</v>
      </c>
      <c r="K160" s="14" t="n">
        <f aca="false">IF(G160="","",I160*$E$4/12)</f>
        <v>24221.5765938722</v>
      </c>
      <c r="L160" s="14" t="n">
        <f aca="false">IF(G160="","",J160-K160)</f>
        <v>22384.9827978037</v>
      </c>
      <c r="M160" s="14" t="n">
        <f aca="false">IF(G160="","",MAX(0,I160-L160))</f>
        <v>3037182.58695447</v>
      </c>
      <c r="N160" s="14"/>
    </row>
    <row r="161" customFormat="false" ht="15" hidden="false" customHeight="false" outlineLevel="0" collapsed="false">
      <c r="G161" s="37" t="n">
        <f aca="false">IF(149&lt;=$B$6*12,149,"")</f>
        <v>149</v>
      </c>
      <c r="H161" s="37" t="n">
        <f aca="false">IF(G161="","",ROUNDUP(G161/12,0))</f>
        <v>13</v>
      </c>
      <c r="I161" s="14" t="n">
        <f aca="false">IF(G161="","",M160)</f>
        <v>3037182.58695447</v>
      </c>
      <c r="J161" s="14" t="n">
        <f aca="false">IF(G161="","",$E$5)</f>
        <v>46606.5593916759</v>
      </c>
      <c r="K161" s="14" t="n">
        <f aca="false">IF(G161="","",I161*$E$4/12)</f>
        <v>24044.3621467229</v>
      </c>
      <c r="L161" s="14" t="n">
        <f aca="false">IF(G161="","",J161-K161)</f>
        <v>22562.197244953</v>
      </c>
      <c r="M161" s="14" t="n">
        <f aca="false">IF(G161="","",MAX(0,I161-L161))</f>
        <v>3014620.38970952</v>
      </c>
      <c r="N161" s="14"/>
    </row>
    <row r="162" customFormat="false" ht="15" hidden="false" customHeight="false" outlineLevel="0" collapsed="false">
      <c r="G162" s="37" t="n">
        <f aca="false">IF(150&lt;=$B$6*12,150,"")</f>
        <v>150</v>
      </c>
      <c r="H162" s="37" t="n">
        <f aca="false">IF(G162="","",ROUNDUP(G162/12,0))</f>
        <v>13</v>
      </c>
      <c r="I162" s="14" t="n">
        <f aca="false">IF(G162="","",M161)</f>
        <v>3014620.38970952</v>
      </c>
      <c r="J162" s="14" t="n">
        <f aca="false">IF(G162="","",$E$5)</f>
        <v>46606.5593916759</v>
      </c>
      <c r="K162" s="14" t="n">
        <f aca="false">IF(G162="","",I162*$E$4/12)</f>
        <v>23865.744751867</v>
      </c>
      <c r="L162" s="14" t="n">
        <f aca="false">IF(G162="","",J162-K162)</f>
        <v>22740.8146398089</v>
      </c>
      <c r="M162" s="14" t="n">
        <f aca="false">IF(G162="","",MAX(0,I162-L162))</f>
        <v>2991879.57506971</v>
      </c>
      <c r="N162" s="14"/>
    </row>
    <row r="163" customFormat="false" ht="15" hidden="false" customHeight="false" outlineLevel="0" collapsed="false">
      <c r="G163" s="37" t="n">
        <f aca="false">IF(151&lt;=$B$6*12,151,"")</f>
        <v>151</v>
      </c>
      <c r="H163" s="37" t="n">
        <f aca="false">IF(G163="","",ROUNDUP(G163/12,0))</f>
        <v>13</v>
      </c>
      <c r="I163" s="14" t="n">
        <f aca="false">IF(G163="","",M162)</f>
        <v>2991879.57506971</v>
      </c>
      <c r="J163" s="14" t="n">
        <f aca="false">IF(G163="","",$E$5)</f>
        <v>46606.5593916759</v>
      </c>
      <c r="K163" s="14" t="n">
        <f aca="false">IF(G163="","",I163*$E$4/12)</f>
        <v>23685.7133026352</v>
      </c>
      <c r="L163" s="14" t="n">
        <f aca="false">IF(G163="","",J163-K163)</f>
        <v>22920.8460890407</v>
      </c>
      <c r="M163" s="14" t="n">
        <f aca="false">IF(G163="","",MAX(0,I163-L163))</f>
        <v>2968958.72898067</v>
      </c>
      <c r="N163" s="14"/>
    </row>
    <row r="164" customFormat="false" ht="15" hidden="false" customHeight="false" outlineLevel="0" collapsed="false">
      <c r="G164" s="37" t="n">
        <f aca="false">IF(152&lt;=$B$6*12,152,"")</f>
        <v>152</v>
      </c>
      <c r="H164" s="37" t="n">
        <f aca="false">IF(G164="","",ROUNDUP(G164/12,0))</f>
        <v>13</v>
      </c>
      <c r="I164" s="14" t="n">
        <f aca="false">IF(G164="","",M163)</f>
        <v>2968958.72898067</v>
      </c>
      <c r="J164" s="14" t="n">
        <f aca="false">IF(G164="","",$E$5)</f>
        <v>46606.5593916759</v>
      </c>
      <c r="K164" s="14" t="n">
        <f aca="false">IF(G164="","",I164*$E$4/12)</f>
        <v>23504.2566044303</v>
      </c>
      <c r="L164" s="14" t="n">
        <f aca="false">IF(G164="","",J164-K164)</f>
        <v>23102.3027872456</v>
      </c>
      <c r="M164" s="14" t="n">
        <f aca="false">IF(G164="","",MAX(0,I164-L164))</f>
        <v>2945856.42619342</v>
      </c>
      <c r="N164" s="14"/>
    </row>
    <row r="165" customFormat="false" ht="15" hidden="false" customHeight="false" outlineLevel="0" collapsed="false">
      <c r="G165" s="37" t="n">
        <f aca="false">IF(153&lt;=$B$6*12,153,"")</f>
        <v>153</v>
      </c>
      <c r="H165" s="37" t="n">
        <f aca="false">IF(G165="","",ROUNDUP(G165/12,0))</f>
        <v>13</v>
      </c>
      <c r="I165" s="14" t="n">
        <f aca="false">IF(G165="","",M164)</f>
        <v>2945856.42619342</v>
      </c>
      <c r="J165" s="14" t="n">
        <f aca="false">IF(G165="","",$E$5)</f>
        <v>46606.5593916759</v>
      </c>
      <c r="K165" s="14" t="n">
        <f aca="false">IF(G165="","",I165*$E$4/12)</f>
        <v>23321.3633740313</v>
      </c>
      <c r="L165" s="14" t="n">
        <f aca="false">IF(G165="","",J165-K165)</f>
        <v>23285.1960176447</v>
      </c>
      <c r="M165" s="14" t="n">
        <f aca="false">IF(G165="","",MAX(0,I165-L165))</f>
        <v>2922571.23017578</v>
      </c>
      <c r="N165" s="14"/>
    </row>
    <row r="166" customFormat="false" ht="15" hidden="false" customHeight="false" outlineLevel="0" collapsed="false">
      <c r="G166" s="37" t="n">
        <f aca="false">IF(154&lt;=$B$6*12,154,"")</f>
        <v>154</v>
      </c>
      <c r="H166" s="37" t="n">
        <f aca="false">IF(G166="","",ROUNDUP(G166/12,0))</f>
        <v>13</v>
      </c>
      <c r="I166" s="14" t="n">
        <f aca="false">IF(G166="","",M165)</f>
        <v>2922571.23017578</v>
      </c>
      <c r="J166" s="14" t="n">
        <f aca="false">IF(G166="","",$E$5)</f>
        <v>46606.5593916759</v>
      </c>
      <c r="K166" s="14" t="n">
        <f aca="false">IF(G166="","",I166*$E$4/12)</f>
        <v>23137.0222388916</v>
      </c>
      <c r="L166" s="14" t="n">
        <f aca="false">IF(G166="","",J166-K166)</f>
        <v>23469.5371527843</v>
      </c>
      <c r="M166" s="14" t="n">
        <f aca="false">IF(G166="","",MAX(0,I166-L166))</f>
        <v>2899101.69302299</v>
      </c>
      <c r="N166" s="14"/>
    </row>
    <row r="167" customFormat="false" ht="15" hidden="false" customHeight="false" outlineLevel="0" collapsed="false">
      <c r="G167" s="37" t="n">
        <f aca="false">IF(155&lt;=$B$6*12,155,"")</f>
        <v>155</v>
      </c>
      <c r="H167" s="37" t="n">
        <f aca="false">IF(G167="","",ROUNDUP(G167/12,0))</f>
        <v>13</v>
      </c>
      <c r="I167" s="14" t="n">
        <f aca="false">IF(G167="","",M166)</f>
        <v>2899101.69302299</v>
      </c>
      <c r="J167" s="14" t="n">
        <f aca="false">IF(G167="","",$E$5)</f>
        <v>46606.5593916759</v>
      </c>
      <c r="K167" s="14" t="n">
        <f aca="false">IF(G167="","",I167*$E$4/12)</f>
        <v>22951.221736432</v>
      </c>
      <c r="L167" s="14" t="n">
        <f aca="false">IF(G167="","",J167-K167)</f>
        <v>23655.3376552439</v>
      </c>
      <c r="M167" s="14" t="n">
        <f aca="false">IF(G167="","",MAX(0,I167-L167))</f>
        <v>2875446.35536775</v>
      </c>
      <c r="N167" s="14"/>
    </row>
    <row r="168" customFormat="false" ht="15" hidden="false" customHeight="false" outlineLevel="0" collapsed="false">
      <c r="G168" s="37" t="n">
        <f aca="false">IF(156&lt;=$B$6*12,156,"")</f>
        <v>156</v>
      </c>
      <c r="H168" s="37" t="n">
        <f aca="false">IF(G168="","",ROUNDUP(G168/12,0))</f>
        <v>13</v>
      </c>
      <c r="I168" s="14" t="n">
        <f aca="false">IF(G168="","",M167)</f>
        <v>2875446.35536775</v>
      </c>
      <c r="J168" s="14" t="n">
        <f aca="false">IF(G168="","",$E$5)</f>
        <v>46606.5593916759</v>
      </c>
      <c r="K168" s="14" t="n">
        <f aca="false">IF(G168="","",I168*$E$4/12)</f>
        <v>22763.950313328</v>
      </c>
      <c r="L168" s="14" t="n">
        <f aca="false">IF(G168="","",J168-K168)</f>
        <v>23842.6090783479</v>
      </c>
      <c r="M168" s="14" t="n">
        <f aca="false">IF(G168="","",MAX(0,I168-L168))</f>
        <v>2851603.7462894</v>
      </c>
      <c r="N168" s="14"/>
    </row>
    <row r="169" customFormat="false" ht="15" hidden="false" customHeight="false" outlineLevel="0" collapsed="false">
      <c r="G169" s="37" t="n">
        <f aca="false">IF(157&lt;=$B$6*12,157,"")</f>
        <v>157</v>
      </c>
      <c r="H169" s="37" t="n">
        <f aca="false">IF(G169="","",ROUNDUP(G169/12,0))</f>
        <v>14</v>
      </c>
      <c r="I169" s="14" t="n">
        <f aca="false">IF(G169="","",M168)</f>
        <v>2851603.7462894</v>
      </c>
      <c r="J169" s="14" t="n">
        <f aca="false">IF(G169="","",$E$5)</f>
        <v>46606.5593916759</v>
      </c>
      <c r="K169" s="14" t="n">
        <f aca="false">IF(G169="","",I169*$E$4/12)</f>
        <v>22575.1963247911</v>
      </c>
      <c r="L169" s="14" t="n">
        <f aca="false">IF(G169="","",J169-K169)</f>
        <v>24031.3630668848</v>
      </c>
      <c r="M169" s="14" t="n">
        <f aca="false">IF(G169="","",MAX(0,I169-L169))</f>
        <v>2827572.38322252</v>
      </c>
      <c r="N169" s="14"/>
    </row>
    <row r="170" customFormat="false" ht="15" hidden="false" customHeight="false" outlineLevel="0" collapsed="false">
      <c r="G170" s="37" t="n">
        <f aca="false">IF(158&lt;=$B$6*12,158,"")</f>
        <v>158</v>
      </c>
      <c r="H170" s="37" t="n">
        <f aca="false">IF(G170="","",ROUNDUP(G170/12,0))</f>
        <v>14</v>
      </c>
      <c r="I170" s="14" t="n">
        <f aca="false">IF(G170="","",M169)</f>
        <v>2827572.38322252</v>
      </c>
      <c r="J170" s="14" t="n">
        <f aca="false">IF(G170="","",$E$5)</f>
        <v>46606.5593916759</v>
      </c>
      <c r="K170" s="14" t="n">
        <f aca="false">IF(G170="","",I170*$E$4/12)</f>
        <v>22384.9480338449</v>
      </c>
      <c r="L170" s="14" t="n">
        <f aca="false">IF(G170="","",J170-K170)</f>
        <v>24221.611357831</v>
      </c>
      <c r="M170" s="14" t="n">
        <f aca="false">IF(G170="","",MAX(0,I170-L170))</f>
        <v>2803350.77186468</v>
      </c>
      <c r="N170" s="14"/>
    </row>
    <row r="171" customFormat="false" ht="15" hidden="false" customHeight="false" outlineLevel="0" collapsed="false">
      <c r="G171" s="37" t="n">
        <f aca="false">IF(159&lt;=$B$6*12,159,"")</f>
        <v>159</v>
      </c>
      <c r="H171" s="37" t="n">
        <f aca="false">IF(G171="","",ROUNDUP(G171/12,0))</f>
        <v>14</v>
      </c>
      <c r="I171" s="14" t="n">
        <f aca="false">IF(G171="","",M170)</f>
        <v>2803350.77186468</v>
      </c>
      <c r="J171" s="14" t="n">
        <f aca="false">IF(G171="","",$E$5)</f>
        <v>46606.5593916759</v>
      </c>
      <c r="K171" s="14" t="n">
        <f aca="false">IF(G171="","",I171*$E$4/12)</f>
        <v>22193.1936105954</v>
      </c>
      <c r="L171" s="14" t="n">
        <f aca="false">IF(G171="","",J171-K171)</f>
        <v>24413.3657810805</v>
      </c>
      <c r="M171" s="14" t="n">
        <f aca="false">IF(G171="","",MAX(0,I171-L171))</f>
        <v>2778937.4060836</v>
      </c>
      <c r="N171" s="14"/>
    </row>
    <row r="172" customFormat="false" ht="15" hidden="false" customHeight="false" outlineLevel="0" collapsed="false">
      <c r="G172" s="37" t="n">
        <f aca="false">IF(160&lt;=$B$6*12,160,"")</f>
        <v>160</v>
      </c>
      <c r="H172" s="37" t="n">
        <f aca="false">IF(G172="","",ROUNDUP(G172/12,0))</f>
        <v>14</v>
      </c>
      <c r="I172" s="14" t="n">
        <f aca="false">IF(G172="","",M171)</f>
        <v>2778937.4060836</v>
      </c>
      <c r="J172" s="14" t="n">
        <f aca="false">IF(G172="","",$E$5)</f>
        <v>46606.5593916759</v>
      </c>
      <c r="K172" s="14" t="n">
        <f aca="false">IF(G172="","",I172*$E$4/12)</f>
        <v>21999.9211314952</v>
      </c>
      <c r="L172" s="14" t="n">
        <f aca="false">IF(G172="","",J172-K172)</f>
        <v>24606.6382601807</v>
      </c>
      <c r="M172" s="14" t="n">
        <f aca="false">IF(G172="","",MAX(0,I172-L172))</f>
        <v>2754330.76782342</v>
      </c>
      <c r="N172" s="14"/>
    </row>
    <row r="173" customFormat="false" ht="15" hidden="false" customHeight="false" outlineLevel="0" collapsed="false">
      <c r="G173" s="37" t="n">
        <f aca="false">IF(161&lt;=$B$6*12,161,"")</f>
        <v>161</v>
      </c>
      <c r="H173" s="37" t="n">
        <f aca="false">IF(G173="","",ROUNDUP(G173/12,0))</f>
        <v>14</v>
      </c>
      <c r="I173" s="14" t="n">
        <f aca="false">IF(G173="","",M172)</f>
        <v>2754330.76782342</v>
      </c>
      <c r="J173" s="14" t="n">
        <f aca="false">IF(G173="","",$E$5)</f>
        <v>46606.5593916759</v>
      </c>
      <c r="K173" s="14" t="n">
        <f aca="false">IF(G173="","",I173*$E$4/12)</f>
        <v>21805.1185786021</v>
      </c>
      <c r="L173" s="14" t="n">
        <f aca="false">IF(G173="","",J173-K173)</f>
        <v>24801.4408130738</v>
      </c>
      <c r="M173" s="14" t="n">
        <f aca="false">IF(G173="","",MAX(0,I173-L173))</f>
        <v>2729529.32701035</v>
      </c>
      <c r="N173" s="14"/>
    </row>
    <row r="174" customFormat="false" ht="15" hidden="false" customHeight="false" outlineLevel="0" collapsed="false">
      <c r="G174" s="37" t="n">
        <f aca="false">IF(162&lt;=$B$6*12,162,"")</f>
        <v>162</v>
      </c>
      <c r="H174" s="37" t="n">
        <f aca="false">IF(G174="","",ROUNDUP(G174/12,0))</f>
        <v>14</v>
      </c>
      <c r="I174" s="14" t="n">
        <f aca="false">IF(G174="","",M173)</f>
        <v>2729529.32701035</v>
      </c>
      <c r="J174" s="14" t="n">
        <f aca="false">IF(G174="","",$E$5)</f>
        <v>46606.5593916759</v>
      </c>
      <c r="K174" s="14" t="n">
        <f aca="false">IF(G174="","",I174*$E$4/12)</f>
        <v>21608.7738388319</v>
      </c>
      <c r="L174" s="14" t="n">
        <f aca="false">IF(G174="","",J174-K174)</f>
        <v>24997.785552844</v>
      </c>
      <c r="M174" s="14" t="n">
        <f aca="false">IF(G174="","",MAX(0,I174-L174))</f>
        <v>2704531.54145751</v>
      </c>
      <c r="N174" s="14"/>
    </row>
    <row r="175" customFormat="false" ht="15" hidden="false" customHeight="false" outlineLevel="0" collapsed="false">
      <c r="G175" s="37" t="n">
        <f aca="false">IF(163&lt;=$B$6*12,163,"")</f>
        <v>163</v>
      </c>
      <c r="H175" s="37" t="n">
        <f aca="false">IF(G175="","",ROUNDUP(G175/12,0))</f>
        <v>14</v>
      </c>
      <c r="I175" s="14" t="n">
        <f aca="false">IF(G175="","",M174)</f>
        <v>2704531.54145751</v>
      </c>
      <c r="J175" s="14" t="n">
        <f aca="false">IF(G175="","",$E$5)</f>
        <v>46606.5593916759</v>
      </c>
      <c r="K175" s="14" t="n">
        <f aca="false">IF(G175="","",I175*$E$4/12)</f>
        <v>21410.8747032053</v>
      </c>
      <c r="L175" s="14" t="n">
        <f aca="false">IF(G175="","",J175-K175)</f>
        <v>25195.6846884706</v>
      </c>
      <c r="M175" s="14" t="n">
        <f aca="false">IF(G175="","",MAX(0,I175-L175))</f>
        <v>2679335.85676904</v>
      </c>
      <c r="N175" s="14"/>
    </row>
    <row r="176" customFormat="false" ht="15" hidden="false" customHeight="false" outlineLevel="0" collapsed="false">
      <c r="G176" s="37" t="n">
        <f aca="false">IF(164&lt;=$B$6*12,164,"")</f>
        <v>164</v>
      </c>
      <c r="H176" s="37" t="n">
        <f aca="false">IF(G176="","",ROUNDUP(G176/12,0))</f>
        <v>14</v>
      </c>
      <c r="I176" s="14" t="n">
        <f aca="false">IF(G176="","",M175)</f>
        <v>2679335.85676904</v>
      </c>
      <c r="J176" s="14" t="n">
        <f aca="false">IF(G176="","",$E$5)</f>
        <v>46606.5593916759</v>
      </c>
      <c r="K176" s="14" t="n">
        <f aca="false">IF(G176="","",I176*$E$4/12)</f>
        <v>21211.4088660882</v>
      </c>
      <c r="L176" s="14" t="n">
        <f aca="false">IF(G176="","",J176-K176)</f>
        <v>25395.1505255877</v>
      </c>
      <c r="M176" s="14" t="n">
        <f aca="false">IF(G176="","",MAX(0,I176-L176))</f>
        <v>2653940.70624345</v>
      </c>
      <c r="N176" s="14"/>
    </row>
    <row r="177" customFormat="false" ht="15" hidden="false" customHeight="false" outlineLevel="0" collapsed="false">
      <c r="G177" s="37" t="n">
        <f aca="false">IF(165&lt;=$B$6*12,165,"")</f>
        <v>165</v>
      </c>
      <c r="H177" s="37" t="n">
        <f aca="false">IF(G177="","",ROUNDUP(G177/12,0))</f>
        <v>14</v>
      </c>
      <c r="I177" s="14" t="n">
        <f aca="false">IF(G177="","",M176)</f>
        <v>2653940.70624345</v>
      </c>
      <c r="J177" s="14" t="n">
        <f aca="false">IF(G177="","",$E$5)</f>
        <v>46606.5593916759</v>
      </c>
      <c r="K177" s="14" t="n">
        <f aca="false">IF(G177="","",I177*$E$4/12)</f>
        <v>21010.3639244273</v>
      </c>
      <c r="L177" s="14" t="n">
        <f aca="false">IF(G177="","",J177-K177)</f>
        <v>25596.1954672486</v>
      </c>
      <c r="M177" s="14" t="n">
        <f aca="false">IF(G177="","",MAX(0,I177-L177))</f>
        <v>2628344.5107762</v>
      </c>
      <c r="N177" s="14"/>
    </row>
    <row r="178" customFormat="false" ht="15" hidden="false" customHeight="false" outlineLevel="0" collapsed="false">
      <c r="G178" s="37" t="n">
        <f aca="false">IF(166&lt;=$B$6*12,166,"")</f>
        <v>166</v>
      </c>
      <c r="H178" s="37" t="n">
        <f aca="false">IF(G178="","",ROUNDUP(G178/12,0))</f>
        <v>14</v>
      </c>
      <c r="I178" s="14" t="n">
        <f aca="false">IF(G178="","",M177)</f>
        <v>2628344.5107762</v>
      </c>
      <c r="J178" s="14" t="n">
        <f aca="false">IF(G178="","",$E$5)</f>
        <v>46606.5593916759</v>
      </c>
      <c r="K178" s="14" t="n">
        <f aca="false">IF(G178="","",I178*$E$4/12)</f>
        <v>20807.7273769782</v>
      </c>
      <c r="L178" s="14" t="n">
        <f aca="false">IF(G178="","",J178-K178)</f>
        <v>25798.8320146977</v>
      </c>
      <c r="M178" s="14" t="n">
        <f aca="false">IF(G178="","",MAX(0,I178-L178))</f>
        <v>2602545.6787615</v>
      </c>
      <c r="N178" s="14"/>
    </row>
    <row r="179" customFormat="false" ht="15" hidden="false" customHeight="false" outlineLevel="0" collapsed="false">
      <c r="G179" s="37" t="n">
        <f aca="false">IF(167&lt;=$B$6*12,167,"")</f>
        <v>167</v>
      </c>
      <c r="H179" s="37" t="n">
        <f aca="false">IF(G179="","",ROUNDUP(G179/12,0))</f>
        <v>14</v>
      </c>
      <c r="I179" s="14" t="n">
        <f aca="false">IF(G179="","",M178)</f>
        <v>2602545.6787615</v>
      </c>
      <c r="J179" s="14" t="n">
        <f aca="false">IF(G179="","",$E$5)</f>
        <v>46606.5593916759</v>
      </c>
      <c r="K179" s="14" t="n">
        <f aca="false">IF(G179="","",I179*$E$4/12)</f>
        <v>20603.4866235286</v>
      </c>
      <c r="L179" s="14" t="n">
        <f aca="false">IF(G179="","",J179-K179)</f>
        <v>26003.0727681474</v>
      </c>
      <c r="M179" s="14" t="n">
        <f aca="false">IF(G179="","",MAX(0,I179-L179))</f>
        <v>2576542.60599335</v>
      </c>
      <c r="N179" s="14"/>
    </row>
    <row r="180" customFormat="false" ht="15" hidden="false" customHeight="false" outlineLevel="0" collapsed="false">
      <c r="G180" s="37" t="n">
        <f aca="false">IF(168&lt;=$B$6*12,168,"")</f>
        <v>168</v>
      </c>
      <c r="H180" s="37" t="n">
        <f aca="false">IF(G180="","",ROUNDUP(G180/12,0))</f>
        <v>14</v>
      </c>
      <c r="I180" s="14" t="n">
        <f aca="false">IF(G180="","",M179)</f>
        <v>2576542.60599335</v>
      </c>
      <c r="J180" s="14" t="n">
        <f aca="false">IF(G180="","",$E$5)</f>
        <v>46606.5593916759</v>
      </c>
      <c r="K180" s="14" t="n">
        <f aca="false">IF(G180="","",I180*$E$4/12)</f>
        <v>20397.6289641141</v>
      </c>
      <c r="L180" s="14" t="n">
        <f aca="false">IF(G180="","",J180-K180)</f>
        <v>26208.9304275619</v>
      </c>
      <c r="M180" s="14" t="n">
        <f aca="false">IF(G180="","",MAX(0,I180-L180))</f>
        <v>2550333.67556579</v>
      </c>
      <c r="N180" s="14"/>
    </row>
    <row r="181" customFormat="false" ht="15" hidden="false" customHeight="false" outlineLevel="0" collapsed="false">
      <c r="G181" s="37" t="n">
        <f aca="false">IF(169&lt;=$B$6*12,169,"")</f>
        <v>169</v>
      </c>
      <c r="H181" s="37" t="n">
        <f aca="false">IF(G181="","",ROUNDUP(G181/12,0))</f>
        <v>15</v>
      </c>
      <c r="I181" s="14" t="n">
        <f aca="false">IF(G181="","",M180)</f>
        <v>2550333.67556579</v>
      </c>
      <c r="J181" s="14" t="n">
        <f aca="false">IF(G181="","",$E$5)</f>
        <v>46606.5593916759</v>
      </c>
      <c r="K181" s="14" t="n">
        <f aca="false">IF(G181="","",I181*$E$4/12)</f>
        <v>20190.1415982292</v>
      </c>
      <c r="L181" s="14" t="n">
        <f aca="false">IF(G181="","",J181-K181)</f>
        <v>26416.4177934467</v>
      </c>
      <c r="M181" s="14" t="n">
        <f aca="false">IF(G181="","",MAX(0,I181-L181))</f>
        <v>2523917.25777235</v>
      </c>
      <c r="N181" s="14"/>
    </row>
    <row r="182" customFormat="false" ht="15" hidden="false" customHeight="false" outlineLevel="0" collapsed="false">
      <c r="G182" s="37" t="n">
        <f aca="false">IF(170&lt;=$B$6*12,170,"")</f>
        <v>170</v>
      </c>
      <c r="H182" s="37" t="n">
        <f aca="false">IF(G182="","",ROUNDUP(G182/12,0))</f>
        <v>15</v>
      </c>
      <c r="I182" s="14" t="n">
        <f aca="false">IF(G182="","",M181)</f>
        <v>2523917.25777235</v>
      </c>
      <c r="J182" s="14" t="n">
        <f aca="false">IF(G182="","",$E$5)</f>
        <v>46606.5593916759</v>
      </c>
      <c r="K182" s="14" t="n">
        <f aca="false">IF(G182="","",I182*$E$4/12)</f>
        <v>19981.0116240311</v>
      </c>
      <c r="L182" s="14" t="n">
        <f aca="false">IF(G182="","",J182-K182)</f>
        <v>26625.5477676448</v>
      </c>
      <c r="M182" s="14" t="n">
        <f aca="false">IF(G182="","",MAX(0,I182-L182))</f>
        <v>2497291.7100047</v>
      </c>
      <c r="N182" s="14"/>
    </row>
    <row r="183" customFormat="false" ht="15" hidden="false" customHeight="false" outlineLevel="0" collapsed="false">
      <c r="G183" s="37" t="n">
        <f aca="false">IF(171&lt;=$B$6*12,171,"")</f>
        <v>171</v>
      </c>
      <c r="H183" s="37" t="n">
        <f aca="false">IF(G183="","",ROUNDUP(G183/12,0))</f>
        <v>15</v>
      </c>
      <c r="I183" s="14" t="n">
        <f aca="false">IF(G183="","",M182)</f>
        <v>2497291.7100047</v>
      </c>
      <c r="J183" s="14" t="n">
        <f aca="false">IF(G183="","",$E$5)</f>
        <v>46606.5593916759</v>
      </c>
      <c r="K183" s="14" t="n">
        <f aca="false">IF(G183="","",I183*$E$4/12)</f>
        <v>19770.2260375372</v>
      </c>
      <c r="L183" s="14" t="n">
        <f aca="false">IF(G183="","",J183-K183)</f>
        <v>26836.3333541387</v>
      </c>
      <c r="M183" s="14" t="n">
        <f aca="false">IF(G183="","",MAX(0,I183-L183))</f>
        <v>2470455.37665056</v>
      </c>
      <c r="N183" s="14"/>
    </row>
    <row r="184" customFormat="false" ht="15" hidden="false" customHeight="false" outlineLevel="0" collapsed="false">
      <c r="G184" s="37" t="n">
        <f aca="false">IF(172&lt;=$B$6*12,172,"")</f>
        <v>172</v>
      </c>
      <c r="H184" s="37" t="n">
        <f aca="false">IF(G184="","",ROUNDUP(G184/12,0))</f>
        <v>15</v>
      </c>
      <c r="I184" s="14" t="n">
        <f aca="false">IF(G184="","",M183)</f>
        <v>2470455.37665056</v>
      </c>
      <c r="J184" s="14" t="n">
        <f aca="false">IF(G184="","",$E$5)</f>
        <v>46606.5593916759</v>
      </c>
      <c r="K184" s="14" t="n">
        <f aca="false">IF(G184="","",I184*$E$4/12)</f>
        <v>19557.7717318169</v>
      </c>
      <c r="L184" s="14" t="n">
        <f aca="false">IF(G184="","",J184-K184)</f>
        <v>27048.787659859</v>
      </c>
      <c r="M184" s="14" t="n">
        <f aca="false">IF(G184="","",MAX(0,I184-L184))</f>
        <v>2443406.5889907</v>
      </c>
      <c r="N184" s="14"/>
    </row>
    <row r="185" customFormat="false" ht="15" hidden="false" customHeight="false" outlineLevel="0" collapsed="false">
      <c r="G185" s="37" t="n">
        <f aca="false">IF(173&lt;=$B$6*12,173,"")</f>
        <v>173</v>
      </c>
      <c r="H185" s="37" t="n">
        <f aca="false">IF(G185="","",ROUNDUP(G185/12,0))</f>
        <v>15</v>
      </c>
      <c r="I185" s="14" t="n">
        <f aca="false">IF(G185="","",M184)</f>
        <v>2443406.5889907</v>
      </c>
      <c r="J185" s="14" t="n">
        <f aca="false">IF(G185="","",$E$5)</f>
        <v>46606.5593916759</v>
      </c>
      <c r="K185" s="14" t="n">
        <f aca="false">IF(G185="","",I185*$E$4/12)</f>
        <v>19343.6354961764</v>
      </c>
      <c r="L185" s="14" t="n">
        <f aca="false">IF(G185="","",J185-K185)</f>
        <v>27262.9238954995</v>
      </c>
      <c r="M185" s="14" t="n">
        <f aca="false">IF(G185="","",MAX(0,I185-L185))</f>
        <v>2416143.6650952</v>
      </c>
      <c r="N185" s="14"/>
    </row>
    <row r="186" customFormat="false" ht="15" hidden="false" customHeight="false" outlineLevel="0" collapsed="false">
      <c r="G186" s="37" t="n">
        <f aca="false">IF(174&lt;=$B$6*12,174,"")</f>
        <v>174</v>
      </c>
      <c r="H186" s="37" t="n">
        <f aca="false">IF(G186="","",ROUNDUP(G186/12,0))</f>
        <v>15</v>
      </c>
      <c r="I186" s="14" t="n">
        <f aca="false">IF(G186="","",M185)</f>
        <v>2416143.6650952</v>
      </c>
      <c r="J186" s="14" t="n">
        <f aca="false">IF(G186="","",$E$5)</f>
        <v>46606.5593916759</v>
      </c>
      <c r="K186" s="14" t="n">
        <f aca="false">IF(G186="","",I186*$E$4/12)</f>
        <v>19127.804015337</v>
      </c>
      <c r="L186" s="14" t="n">
        <f aca="false">IF(G186="","",J186-K186)</f>
        <v>27478.7553763389</v>
      </c>
      <c r="M186" s="14" t="n">
        <f aca="false">IF(G186="","",MAX(0,I186-L186))</f>
        <v>2388664.90971886</v>
      </c>
      <c r="N186" s="14"/>
    </row>
    <row r="187" customFormat="false" ht="15" hidden="false" customHeight="false" outlineLevel="0" collapsed="false">
      <c r="G187" s="37" t="n">
        <f aca="false">IF(175&lt;=$B$6*12,175,"")</f>
        <v>175</v>
      </c>
      <c r="H187" s="37" t="n">
        <f aca="false">IF(G187="","",ROUNDUP(G187/12,0))</f>
        <v>15</v>
      </c>
      <c r="I187" s="14" t="n">
        <f aca="false">IF(G187="","",M186)</f>
        <v>2388664.90971886</v>
      </c>
      <c r="J187" s="14" t="n">
        <f aca="false">IF(G187="","",$E$5)</f>
        <v>46606.5593916759</v>
      </c>
      <c r="K187" s="14" t="n">
        <f aca="false">IF(G187="","",I187*$E$4/12)</f>
        <v>18910.2638686077</v>
      </c>
      <c r="L187" s="14" t="n">
        <f aca="false">IF(G187="","",J187-K187)</f>
        <v>27696.2955230682</v>
      </c>
      <c r="M187" s="14" t="n">
        <f aca="false">IF(G187="","",MAX(0,I187-L187))</f>
        <v>2360968.6141958</v>
      </c>
      <c r="N187" s="14"/>
    </row>
    <row r="188" customFormat="false" ht="15" hidden="false" customHeight="false" outlineLevel="0" collapsed="false">
      <c r="G188" s="37" t="n">
        <f aca="false">IF(176&lt;=$B$6*12,176,"")</f>
        <v>176</v>
      </c>
      <c r="H188" s="37" t="n">
        <f aca="false">IF(G188="","",ROUNDUP(G188/12,0))</f>
        <v>15</v>
      </c>
      <c r="I188" s="14" t="n">
        <f aca="false">IF(G188="","",M187)</f>
        <v>2360968.6141958</v>
      </c>
      <c r="J188" s="14" t="n">
        <f aca="false">IF(G188="","",$E$5)</f>
        <v>46606.5593916759</v>
      </c>
      <c r="K188" s="14" t="n">
        <f aca="false">IF(G188="","",I188*$E$4/12)</f>
        <v>18691.0015290501</v>
      </c>
      <c r="L188" s="14" t="n">
        <f aca="false">IF(G188="","",J188-K188)</f>
        <v>27915.5578626259</v>
      </c>
      <c r="M188" s="14" t="n">
        <f aca="false">IF(G188="","",MAX(0,I188-L188))</f>
        <v>2333053.05633317</v>
      </c>
      <c r="N188" s="14"/>
    </row>
    <row r="189" customFormat="false" ht="15" hidden="false" customHeight="false" outlineLevel="0" collapsed="false">
      <c r="G189" s="37" t="n">
        <f aca="false">IF(177&lt;=$B$6*12,177,"")</f>
        <v>177</v>
      </c>
      <c r="H189" s="37" t="n">
        <f aca="false">IF(G189="","",ROUNDUP(G189/12,0))</f>
        <v>15</v>
      </c>
      <c r="I189" s="14" t="n">
        <f aca="false">IF(G189="","",M188)</f>
        <v>2333053.05633317</v>
      </c>
      <c r="J189" s="14" t="n">
        <f aca="false">IF(G189="","",$E$5)</f>
        <v>46606.5593916759</v>
      </c>
      <c r="K189" s="14" t="n">
        <f aca="false">IF(G189="","",I189*$E$4/12)</f>
        <v>18470.0033626376</v>
      </c>
      <c r="L189" s="14" t="n">
        <f aca="false">IF(G189="","",J189-K189)</f>
        <v>28136.5560290383</v>
      </c>
      <c r="M189" s="14" t="n">
        <f aca="false">IF(G189="","",MAX(0,I189-L189))</f>
        <v>2304916.50030413</v>
      </c>
      <c r="N189" s="14"/>
    </row>
    <row r="190" customFormat="false" ht="15" hidden="false" customHeight="false" outlineLevel="0" collapsed="false">
      <c r="G190" s="37" t="n">
        <f aca="false">IF(178&lt;=$B$6*12,178,"")</f>
        <v>178</v>
      </c>
      <c r="H190" s="37" t="n">
        <f aca="false">IF(G190="","",ROUNDUP(G190/12,0))</f>
        <v>15</v>
      </c>
      <c r="I190" s="14" t="n">
        <f aca="false">IF(G190="","",M189)</f>
        <v>2304916.50030413</v>
      </c>
      <c r="J190" s="14" t="n">
        <f aca="false">IF(G190="","",$E$5)</f>
        <v>46606.5593916759</v>
      </c>
      <c r="K190" s="14" t="n">
        <f aca="false">IF(G190="","",I190*$E$4/12)</f>
        <v>18247.2556274077</v>
      </c>
      <c r="L190" s="14" t="n">
        <f aca="false">IF(G190="","",J190-K190)</f>
        <v>28359.3037642682</v>
      </c>
      <c r="M190" s="14" t="n">
        <f aca="false">IF(G190="","",MAX(0,I190-L190))</f>
        <v>2276557.19653986</v>
      </c>
      <c r="N190" s="14"/>
    </row>
    <row r="191" customFormat="false" ht="15" hidden="false" customHeight="false" outlineLevel="0" collapsed="false">
      <c r="G191" s="37" t="n">
        <f aca="false">IF(179&lt;=$B$6*12,179,"")</f>
        <v>179</v>
      </c>
      <c r="H191" s="37" t="n">
        <f aca="false">IF(G191="","",ROUNDUP(G191/12,0))</f>
        <v>15</v>
      </c>
      <c r="I191" s="14" t="n">
        <f aca="false">IF(G191="","",M190)</f>
        <v>2276557.19653986</v>
      </c>
      <c r="J191" s="14" t="n">
        <f aca="false">IF(G191="","",$E$5)</f>
        <v>46606.5593916759</v>
      </c>
      <c r="K191" s="14" t="n">
        <f aca="false">IF(G191="","",I191*$E$4/12)</f>
        <v>18022.7444726073</v>
      </c>
      <c r="L191" s="14" t="n">
        <f aca="false">IF(G191="","",J191-K191)</f>
        <v>28583.8149190687</v>
      </c>
      <c r="M191" s="14" t="n">
        <f aca="false">IF(G191="","",MAX(0,I191-L191))</f>
        <v>2247973.38162079</v>
      </c>
      <c r="N191" s="14"/>
    </row>
    <row r="192" customFormat="false" ht="15" hidden="false" customHeight="false" outlineLevel="0" collapsed="false">
      <c r="G192" s="37" t="n">
        <f aca="false">IF(180&lt;=$B$6*12,180,"")</f>
        <v>180</v>
      </c>
      <c r="H192" s="37" t="n">
        <f aca="false">IF(G192="","",ROUNDUP(G192/12,0))</f>
        <v>15</v>
      </c>
      <c r="I192" s="14" t="n">
        <f aca="false">IF(G192="","",M191)</f>
        <v>2247973.38162079</v>
      </c>
      <c r="J192" s="14" t="n">
        <f aca="false">IF(G192="","",$E$5)</f>
        <v>46606.5593916759</v>
      </c>
      <c r="K192" s="14" t="n">
        <f aca="false">IF(G192="","",I192*$E$4/12)</f>
        <v>17796.4559378313</v>
      </c>
      <c r="L192" s="14" t="n">
        <f aca="false">IF(G192="","",J192-K192)</f>
        <v>28810.1034538446</v>
      </c>
      <c r="M192" s="14" t="n">
        <f aca="false">IF(G192="","",MAX(0,I192-L192))</f>
        <v>2219163.27816695</v>
      </c>
      <c r="N192" s="14"/>
    </row>
    <row r="193" customFormat="false" ht="15" hidden="false" customHeight="false" outlineLevel="0" collapsed="false">
      <c r="G193" s="37" t="n">
        <f aca="false">IF(181&lt;=$B$6*12,181,"")</f>
        <v>181</v>
      </c>
      <c r="H193" s="37" t="n">
        <f aca="false">IF(G193="","",ROUNDUP(G193/12,0))</f>
        <v>16</v>
      </c>
      <c r="I193" s="14" t="n">
        <f aca="false">IF(G193="","",M192)</f>
        <v>2219163.27816695</v>
      </c>
      <c r="J193" s="14" t="n">
        <f aca="false">IF(G193="","",$E$5)</f>
        <v>46606.5593916759</v>
      </c>
      <c r="K193" s="14" t="n">
        <f aca="false">IF(G193="","",I193*$E$4/12)</f>
        <v>17568.375952155</v>
      </c>
      <c r="L193" s="14" t="n">
        <f aca="false">IF(G193="","",J193-K193)</f>
        <v>29038.1834395209</v>
      </c>
      <c r="M193" s="14" t="n">
        <f aca="false">IF(G193="","",MAX(0,I193-L193))</f>
        <v>2190125.09472743</v>
      </c>
      <c r="N193" s="14"/>
    </row>
    <row r="194" customFormat="false" ht="15" hidden="false" customHeight="false" outlineLevel="0" collapsed="false">
      <c r="G194" s="37" t="n">
        <f aca="false">IF(182&lt;=$B$6*12,182,"")</f>
        <v>182</v>
      </c>
      <c r="H194" s="37" t="n">
        <f aca="false">IF(G194="","",ROUNDUP(G194/12,0))</f>
        <v>16</v>
      </c>
      <c r="I194" s="14" t="n">
        <f aca="false">IF(G194="","",M193)</f>
        <v>2190125.09472743</v>
      </c>
      <c r="J194" s="14" t="n">
        <f aca="false">IF(G194="","",$E$5)</f>
        <v>46606.5593916759</v>
      </c>
      <c r="K194" s="14" t="n">
        <f aca="false">IF(G194="","",I194*$E$4/12)</f>
        <v>17338.4903332588</v>
      </c>
      <c r="L194" s="14" t="n">
        <f aca="false">IF(G194="","",J194-K194)</f>
        <v>29268.0690584171</v>
      </c>
      <c r="M194" s="14" t="n">
        <f aca="false">IF(G194="","",MAX(0,I194-L194))</f>
        <v>2160857.02566901</v>
      </c>
      <c r="N194" s="14"/>
    </row>
    <row r="195" customFormat="false" ht="15" hidden="false" customHeight="false" outlineLevel="0" collapsed="false">
      <c r="G195" s="37" t="n">
        <f aca="false">IF(183&lt;=$B$6*12,183,"")</f>
        <v>183</v>
      </c>
      <c r="H195" s="37" t="n">
        <f aca="false">IF(G195="","",ROUNDUP(G195/12,0))</f>
        <v>16</v>
      </c>
      <c r="I195" s="14" t="n">
        <f aca="false">IF(G195="","",M194)</f>
        <v>2160857.02566901</v>
      </c>
      <c r="J195" s="14" t="n">
        <f aca="false">IF(G195="","",$E$5)</f>
        <v>46606.5593916759</v>
      </c>
      <c r="K195" s="14" t="n">
        <f aca="false">IF(G195="","",I195*$E$4/12)</f>
        <v>17106.7847865463</v>
      </c>
      <c r="L195" s="14" t="n">
        <f aca="false">IF(G195="","",J195-K195)</f>
        <v>29499.7746051296</v>
      </c>
      <c r="M195" s="14" t="n">
        <f aca="false">IF(G195="","",MAX(0,I195-L195))</f>
        <v>2131357.25106388</v>
      </c>
      <c r="N195" s="14"/>
    </row>
    <row r="196" customFormat="false" ht="15" hidden="false" customHeight="false" outlineLevel="0" collapsed="false">
      <c r="G196" s="37" t="n">
        <f aca="false">IF(184&lt;=$B$6*12,184,"")</f>
        <v>184</v>
      </c>
      <c r="H196" s="37" t="n">
        <f aca="false">IF(G196="","",ROUNDUP(G196/12,0))</f>
        <v>16</v>
      </c>
      <c r="I196" s="14" t="n">
        <f aca="false">IF(G196="","",M195)</f>
        <v>2131357.25106388</v>
      </c>
      <c r="J196" s="14" t="n">
        <f aca="false">IF(G196="","",$E$5)</f>
        <v>46606.5593916759</v>
      </c>
      <c r="K196" s="14" t="n">
        <f aca="false">IF(G196="","",I196*$E$4/12)</f>
        <v>16873.2449042557</v>
      </c>
      <c r="L196" s="14" t="n">
        <f aca="false">IF(G196="","",J196-K196)</f>
        <v>29733.3144874202</v>
      </c>
      <c r="M196" s="14" t="n">
        <f aca="false">IF(G196="","",MAX(0,I196-L196))</f>
        <v>2101623.93657646</v>
      </c>
      <c r="N196" s="14"/>
    </row>
    <row r="197" customFormat="false" ht="15" hidden="false" customHeight="false" outlineLevel="0" collapsed="false">
      <c r="G197" s="37" t="n">
        <f aca="false">IF(185&lt;=$B$6*12,185,"")</f>
        <v>185</v>
      </c>
      <c r="H197" s="37" t="n">
        <f aca="false">IF(G197="","",ROUNDUP(G197/12,0))</f>
        <v>16</v>
      </c>
      <c r="I197" s="14" t="n">
        <f aca="false">IF(G197="","",M196)</f>
        <v>2101623.93657646</v>
      </c>
      <c r="J197" s="14" t="n">
        <f aca="false">IF(G197="","",$E$5)</f>
        <v>46606.5593916759</v>
      </c>
      <c r="K197" s="14" t="n">
        <f aca="false">IF(G197="","",I197*$E$4/12)</f>
        <v>16637.8561645637</v>
      </c>
      <c r="L197" s="14" t="n">
        <f aca="false">IF(G197="","",J197-K197)</f>
        <v>29968.7032271122</v>
      </c>
      <c r="M197" s="14" t="n">
        <f aca="false">IF(G197="","",MAX(0,I197-L197))</f>
        <v>2071655.23334935</v>
      </c>
      <c r="N197" s="14"/>
    </row>
    <row r="198" customFormat="false" ht="15" hidden="false" customHeight="false" outlineLevel="0" collapsed="false">
      <c r="G198" s="37" t="n">
        <f aca="false">IF(186&lt;=$B$6*12,186,"")</f>
        <v>186</v>
      </c>
      <c r="H198" s="37" t="n">
        <f aca="false">IF(G198="","",ROUNDUP(G198/12,0))</f>
        <v>16</v>
      </c>
      <c r="I198" s="14" t="n">
        <f aca="false">IF(G198="","",M197)</f>
        <v>2071655.23334935</v>
      </c>
      <c r="J198" s="14" t="n">
        <f aca="false">IF(G198="","",$E$5)</f>
        <v>46606.5593916759</v>
      </c>
      <c r="K198" s="14" t="n">
        <f aca="false">IF(G198="","",I198*$E$4/12)</f>
        <v>16400.6039306824</v>
      </c>
      <c r="L198" s="14" t="n">
        <f aca="false">IF(G198="","",J198-K198)</f>
        <v>30205.9554609935</v>
      </c>
      <c r="M198" s="14" t="n">
        <f aca="false">IF(G198="","",MAX(0,I198-L198))</f>
        <v>2041449.27788836</v>
      </c>
      <c r="N198" s="14"/>
    </row>
    <row r="199" customFormat="false" ht="15" hidden="false" customHeight="false" outlineLevel="0" collapsed="false">
      <c r="G199" s="37" t="n">
        <f aca="false">IF(187&lt;=$B$6*12,187,"")</f>
        <v>187</v>
      </c>
      <c r="H199" s="37" t="n">
        <f aca="false">IF(G199="","",ROUNDUP(G199/12,0))</f>
        <v>16</v>
      </c>
      <c r="I199" s="14" t="n">
        <f aca="false">IF(G199="","",M198)</f>
        <v>2041449.27788836</v>
      </c>
      <c r="J199" s="14" t="n">
        <f aca="false">IF(G199="","",$E$5)</f>
        <v>46606.5593916759</v>
      </c>
      <c r="K199" s="14" t="n">
        <f aca="false">IF(G199="","",I199*$E$4/12)</f>
        <v>16161.4734499495</v>
      </c>
      <c r="L199" s="14" t="n">
        <f aca="false">IF(G199="","",J199-K199)</f>
        <v>30445.0859417264</v>
      </c>
      <c r="M199" s="14" t="n">
        <f aca="false">IF(G199="","",MAX(0,I199-L199))</f>
        <v>2011004.19194663</v>
      </c>
      <c r="N199" s="14"/>
    </row>
    <row r="200" customFormat="false" ht="15" hidden="false" customHeight="false" outlineLevel="0" collapsed="false">
      <c r="G200" s="37" t="n">
        <f aca="false">IF(188&lt;=$B$6*12,188,"")</f>
        <v>188</v>
      </c>
      <c r="H200" s="37" t="n">
        <f aca="false">IF(G200="","",ROUNDUP(G200/12,0))</f>
        <v>16</v>
      </c>
      <c r="I200" s="14" t="n">
        <f aca="false">IF(G200="","",M199)</f>
        <v>2011004.19194663</v>
      </c>
      <c r="J200" s="14" t="n">
        <f aca="false">IF(G200="","",$E$5)</f>
        <v>46606.5593916759</v>
      </c>
      <c r="K200" s="14" t="n">
        <f aca="false">IF(G200="","",I200*$E$4/12)</f>
        <v>15920.4498529108</v>
      </c>
      <c r="L200" s="14" t="n">
        <f aca="false">IF(G200="","",J200-K200)</f>
        <v>30686.1095387651</v>
      </c>
      <c r="M200" s="14" t="n">
        <f aca="false">IF(G200="","",MAX(0,I200-L200))</f>
        <v>1980318.08240787</v>
      </c>
      <c r="N200" s="14"/>
    </row>
    <row r="201" customFormat="false" ht="15" hidden="false" customHeight="false" outlineLevel="0" collapsed="false">
      <c r="G201" s="37" t="n">
        <f aca="false">IF(189&lt;=$B$6*12,189,"")</f>
        <v>189</v>
      </c>
      <c r="H201" s="37" t="n">
        <f aca="false">IF(G201="","",ROUNDUP(G201/12,0))</f>
        <v>16</v>
      </c>
      <c r="I201" s="14" t="n">
        <f aca="false">IF(G201="","",M200)</f>
        <v>1980318.08240787</v>
      </c>
      <c r="J201" s="14" t="n">
        <f aca="false">IF(G201="","",$E$5)</f>
        <v>46606.5593916759</v>
      </c>
      <c r="K201" s="14" t="n">
        <f aca="false">IF(G201="","",I201*$E$4/12)</f>
        <v>15677.5181523956</v>
      </c>
      <c r="L201" s="14" t="n">
        <f aca="false">IF(G201="","",J201-K201)</f>
        <v>30929.0412392803</v>
      </c>
      <c r="M201" s="14" t="n">
        <f aca="false">IF(G201="","",MAX(0,I201-L201))</f>
        <v>1949389.04116859</v>
      </c>
      <c r="N201" s="14"/>
    </row>
    <row r="202" customFormat="false" ht="15" hidden="false" customHeight="false" outlineLevel="0" collapsed="false">
      <c r="G202" s="37" t="n">
        <f aca="false">IF(190&lt;=$B$6*12,190,"")</f>
        <v>190</v>
      </c>
      <c r="H202" s="37" t="n">
        <f aca="false">IF(G202="","",ROUNDUP(G202/12,0))</f>
        <v>16</v>
      </c>
      <c r="I202" s="14" t="n">
        <f aca="false">IF(G202="","",M201)</f>
        <v>1949389.04116859</v>
      </c>
      <c r="J202" s="14" t="n">
        <f aca="false">IF(G202="","",$E$5)</f>
        <v>46606.5593916759</v>
      </c>
      <c r="K202" s="14" t="n">
        <f aca="false">IF(G202="","",I202*$E$4/12)</f>
        <v>15432.6632425846</v>
      </c>
      <c r="L202" s="14" t="n">
        <f aca="false">IF(G202="","",J202-K202)</f>
        <v>31173.8961490913</v>
      </c>
      <c r="M202" s="14" t="n">
        <f aca="false">IF(G202="","",MAX(0,I202-L202))</f>
        <v>1918215.14501949</v>
      </c>
      <c r="N202" s="14"/>
    </row>
    <row r="203" customFormat="false" ht="15" hidden="false" customHeight="false" outlineLevel="0" collapsed="false">
      <c r="G203" s="37" t="n">
        <f aca="false">IF(191&lt;=$B$6*12,191,"")</f>
        <v>191</v>
      </c>
      <c r="H203" s="37" t="n">
        <f aca="false">IF(G203="","",ROUNDUP(G203/12,0))</f>
        <v>16</v>
      </c>
      <c r="I203" s="14" t="n">
        <f aca="false">IF(G203="","",M202)</f>
        <v>1918215.14501949</v>
      </c>
      <c r="J203" s="14" t="n">
        <f aca="false">IF(G203="","",$E$5)</f>
        <v>46606.5593916759</v>
      </c>
      <c r="K203" s="14" t="n">
        <f aca="false">IF(G203="","",I203*$E$4/12)</f>
        <v>15185.869898071</v>
      </c>
      <c r="L203" s="14" t="n">
        <f aca="false">IF(G203="","",J203-K203)</f>
        <v>31420.6894936049</v>
      </c>
      <c r="M203" s="14" t="n">
        <f aca="false">IF(G203="","",MAX(0,I203-L203))</f>
        <v>1886794.45552589</v>
      </c>
      <c r="N203" s="14"/>
    </row>
    <row r="204" customFormat="false" ht="15" hidden="false" customHeight="false" outlineLevel="0" collapsed="false">
      <c r="G204" s="37" t="n">
        <f aca="false">IF(192&lt;=$B$6*12,192,"")</f>
        <v>192</v>
      </c>
      <c r="H204" s="37" t="n">
        <f aca="false">IF(G204="","",ROUNDUP(G204/12,0))</f>
        <v>16</v>
      </c>
      <c r="I204" s="14" t="n">
        <f aca="false">IF(G204="","",M203)</f>
        <v>1886794.45552589</v>
      </c>
      <c r="J204" s="14" t="n">
        <f aca="false">IF(G204="","",$E$5)</f>
        <v>46606.5593916759</v>
      </c>
      <c r="K204" s="14" t="n">
        <f aca="false">IF(G204="","",I204*$E$4/12)</f>
        <v>14937.1227729133</v>
      </c>
      <c r="L204" s="14" t="n">
        <f aca="false">IF(G204="","",J204-K204)</f>
        <v>31669.4366187626</v>
      </c>
      <c r="M204" s="14" t="n">
        <f aca="false">IF(G204="","",MAX(0,I204-L204))</f>
        <v>1855125.01890713</v>
      </c>
      <c r="N204" s="14"/>
    </row>
    <row r="205" customFormat="false" ht="15" hidden="false" customHeight="false" outlineLevel="0" collapsed="false">
      <c r="G205" s="37" t="n">
        <f aca="false">IF(193&lt;=$B$6*12,193,"")</f>
        <v>193</v>
      </c>
      <c r="H205" s="37" t="n">
        <f aca="false">IF(G205="","",ROUNDUP(G205/12,0))</f>
        <v>17</v>
      </c>
      <c r="I205" s="14" t="n">
        <f aca="false">IF(G205="","",M204)</f>
        <v>1855125.01890713</v>
      </c>
      <c r="J205" s="14" t="n">
        <f aca="false">IF(G205="","",$E$5)</f>
        <v>46606.5593916759</v>
      </c>
      <c r="K205" s="14" t="n">
        <f aca="false">IF(G205="","",I205*$E$4/12)</f>
        <v>14686.4063996814</v>
      </c>
      <c r="L205" s="14" t="n">
        <f aca="false">IF(G205="","",J205-K205)</f>
        <v>31920.1529919945</v>
      </c>
      <c r="M205" s="14" t="n">
        <f aca="false">IF(G205="","",MAX(0,I205-L205))</f>
        <v>1823204.86591513</v>
      </c>
      <c r="N205" s="14"/>
    </row>
    <row r="206" customFormat="false" ht="15" hidden="false" customHeight="false" outlineLevel="0" collapsed="false">
      <c r="G206" s="37" t="n">
        <f aca="false">IF(194&lt;=$B$6*12,194,"")</f>
        <v>194</v>
      </c>
      <c r="H206" s="37" t="n">
        <f aca="false">IF(G206="","",ROUNDUP(G206/12,0))</f>
        <v>17</v>
      </c>
      <c r="I206" s="14" t="n">
        <f aca="false">IF(G206="","",M205)</f>
        <v>1823204.86591513</v>
      </c>
      <c r="J206" s="14" t="n">
        <f aca="false">IF(G206="","",$E$5)</f>
        <v>46606.5593916759</v>
      </c>
      <c r="K206" s="14" t="n">
        <f aca="false">IF(G206="","",I206*$E$4/12)</f>
        <v>14433.7051884948</v>
      </c>
      <c r="L206" s="14" t="n">
        <f aca="false">IF(G206="","",J206-K206)</f>
        <v>32172.8542031811</v>
      </c>
      <c r="M206" s="14" t="n">
        <f aca="false">IF(G206="","",MAX(0,I206-L206))</f>
        <v>1791032.01171195</v>
      </c>
      <c r="N206" s="14"/>
    </row>
    <row r="207" customFormat="false" ht="15" hidden="false" customHeight="false" outlineLevel="0" collapsed="false">
      <c r="G207" s="37" t="n">
        <f aca="false">IF(195&lt;=$B$6*12,195,"")</f>
        <v>195</v>
      </c>
      <c r="H207" s="37" t="n">
        <f aca="false">IF(G207="","",ROUNDUP(G207/12,0))</f>
        <v>17</v>
      </c>
      <c r="I207" s="14" t="n">
        <f aca="false">IF(G207="","",M206)</f>
        <v>1791032.01171195</v>
      </c>
      <c r="J207" s="14" t="n">
        <f aca="false">IF(G207="","",$E$5)</f>
        <v>46606.5593916759</v>
      </c>
      <c r="K207" s="14" t="n">
        <f aca="false">IF(G207="","",I207*$E$4/12)</f>
        <v>14179.0034260529</v>
      </c>
      <c r="L207" s="14" t="n">
        <f aca="false">IF(G207="","",J207-K207)</f>
        <v>32427.555965623</v>
      </c>
      <c r="M207" s="14" t="n">
        <f aca="false">IF(G207="","",MAX(0,I207-L207))</f>
        <v>1758604.45574633</v>
      </c>
      <c r="N207" s="14"/>
    </row>
    <row r="208" customFormat="false" ht="15" hidden="false" customHeight="false" outlineLevel="0" collapsed="false">
      <c r="G208" s="37" t="n">
        <f aca="false">IF(196&lt;=$B$6*12,196,"")</f>
        <v>196</v>
      </c>
      <c r="H208" s="37" t="n">
        <f aca="false">IF(G208="","",ROUNDUP(G208/12,0))</f>
        <v>17</v>
      </c>
      <c r="I208" s="14" t="n">
        <f aca="false">IF(G208="","",M207)</f>
        <v>1758604.45574633</v>
      </c>
      <c r="J208" s="14" t="n">
        <f aca="false">IF(G208="","",$E$5)</f>
        <v>46606.5593916759</v>
      </c>
      <c r="K208" s="14" t="n">
        <f aca="false">IF(G208="","",I208*$E$4/12)</f>
        <v>13922.2852746584</v>
      </c>
      <c r="L208" s="14" t="n">
        <f aca="false">IF(G208="","",J208-K208)</f>
        <v>32684.2741170175</v>
      </c>
      <c r="M208" s="14" t="n">
        <f aca="false">IF(G208="","",MAX(0,I208-L208))</f>
        <v>1725920.18162931</v>
      </c>
      <c r="N208" s="14"/>
    </row>
    <row r="209" customFormat="false" ht="15" hidden="false" customHeight="false" outlineLevel="0" collapsed="false">
      <c r="G209" s="37" t="n">
        <f aca="false">IF(197&lt;=$B$6*12,197,"")</f>
        <v>197</v>
      </c>
      <c r="H209" s="37" t="n">
        <f aca="false">IF(G209="","",ROUNDUP(G209/12,0))</f>
        <v>17</v>
      </c>
      <c r="I209" s="14" t="n">
        <f aca="false">IF(G209="","",M208)</f>
        <v>1725920.18162931</v>
      </c>
      <c r="J209" s="14" t="n">
        <f aca="false">IF(G209="","",$E$5)</f>
        <v>46606.5593916759</v>
      </c>
      <c r="K209" s="14" t="n">
        <f aca="false">IF(G209="","",I209*$E$4/12)</f>
        <v>13663.534771232</v>
      </c>
      <c r="L209" s="14" t="n">
        <f aca="false">IF(G209="","",J209-K209)</f>
        <v>32943.0246204439</v>
      </c>
      <c r="M209" s="14" t="n">
        <f aca="false">IF(G209="","",MAX(0,I209-L209))</f>
        <v>1692977.15700887</v>
      </c>
      <c r="N209" s="14"/>
    </row>
    <row r="210" customFormat="false" ht="15" hidden="false" customHeight="false" outlineLevel="0" collapsed="false">
      <c r="G210" s="37" t="n">
        <f aca="false">IF(198&lt;=$B$6*12,198,"")</f>
        <v>198</v>
      </c>
      <c r="H210" s="37" t="n">
        <f aca="false">IF(G210="","",ROUNDUP(G210/12,0))</f>
        <v>17</v>
      </c>
      <c r="I210" s="14" t="n">
        <f aca="false">IF(G210="","",M209)</f>
        <v>1692977.15700887</v>
      </c>
      <c r="J210" s="14" t="n">
        <f aca="false">IF(G210="","",$E$5)</f>
        <v>46606.5593916759</v>
      </c>
      <c r="K210" s="14" t="n">
        <f aca="false">IF(G210="","",I210*$E$4/12)</f>
        <v>13402.7358263202</v>
      </c>
      <c r="L210" s="14" t="n">
        <f aca="false">IF(G210="","",J210-K210)</f>
        <v>33203.8235653557</v>
      </c>
      <c r="M210" s="14" t="n">
        <f aca="false">IF(G210="","",MAX(0,I210-L210))</f>
        <v>1659773.33344351</v>
      </c>
      <c r="N210" s="14"/>
    </row>
    <row r="211" customFormat="false" ht="15" hidden="false" customHeight="false" outlineLevel="0" collapsed="false">
      <c r="G211" s="37" t="n">
        <f aca="false">IF(199&lt;=$B$6*12,199,"")</f>
        <v>199</v>
      </c>
      <c r="H211" s="37" t="n">
        <f aca="false">IF(G211="","",ROUNDUP(G211/12,0))</f>
        <v>17</v>
      </c>
      <c r="I211" s="14" t="n">
        <f aca="false">IF(G211="","",M210)</f>
        <v>1659773.33344351</v>
      </c>
      <c r="J211" s="14" t="n">
        <f aca="false">IF(G211="","",$E$5)</f>
        <v>46606.5593916759</v>
      </c>
      <c r="K211" s="14" t="n">
        <f aca="false">IF(G211="","",I211*$E$4/12)</f>
        <v>13139.8722230945</v>
      </c>
      <c r="L211" s="14" t="n">
        <f aca="false">IF(G211="","",J211-K211)</f>
        <v>33466.6871685814</v>
      </c>
      <c r="M211" s="14" t="n">
        <f aca="false">IF(G211="","",MAX(0,I211-L211))</f>
        <v>1626306.64627493</v>
      </c>
      <c r="N211" s="14"/>
    </row>
    <row r="212" customFormat="false" ht="15" hidden="false" customHeight="false" outlineLevel="0" collapsed="false">
      <c r="G212" s="37" t="n">
        <f aca="false">IF(200&lt;=$B$6*12,200,"")</f>
        <v>200</v>
      </c>
      <c r="H212" s="37" t="n">
        <f aca="false">IF(G212="","",ROUNDUP(G212/12,0))</f>
        <v>17</v>
      </c>
      <c r="I212" s="14" t="n">
        <f aca="false">IF(G212="","",M211)</f>
        <v>1626306.64627493</v>
      </c>
      <c r="J212" s="14" t="n">
        <f aca="false">IF(G212="","",$E$5)</f>
        <v>46606.5593916759</v>
      </c>
      <c r="K212" s="14" t="n">
        <f aca="false">IF(G212="","",I212*$E$4/12)</f>
        <v>12874.9276163432</v>
      </c>
      <c r="L212" s="14" t="n">
        <f aca="false">IF(G212="","",J212-K212)</f>
        <v>33731.6317753327</v>
      </c>
      <c r="M212" s="14" t="n">
        <f aca="false">IF(G212="","",MAX(0,I212-L212))</f>
        <v>1592575.0144996</v>
      </c>
      <c r="N212" s="14"/>
    </row>
    <row r="213" customFormat="false" ht="15" hidden="false" customHeight="false" outlineLevel="0" collapsed="false">
      <c r="G213" s="37" t="n">
        <f aca="false">IF(201&lt;=$B$6*12,201,"")</f>
        <v>201</v>
      </c>
      <c r="H213" s="37" t="n">
        <f aca="false">IF(G213="","",ROUNDUP(G213/12,0))</f>
        <v>17</v>
      </c>
      <c r="I213" s="14" t="n">
        <f aca="false">IF(G213="","",M212)</f>
        <v>1592575.0144996</v>
      </c>
      <c r="J213" s="14" t="n">
        <f aca="false">IF(G213="","",$E$5)</f>
        <v>46606.5593916759</v>
      </c>
      <c r="K213" s="14" t="n">
        <f aca="false">IF(G213="","",I213*$E$4/12)</f>
        <v>12607.8855314551</v>
      </c>
      <c r="L213" s="14" t="n">
        <f aca="false">IF(G213="","",J213-K213)</f>
        <v>33998.6738602208</v>
      </c>
      <c r="M213" s="14" t="n">
        <f aca="false">IF(G213="","",MAX(0,I213-L213))</f>
        <v>1558576.34063938</v>
      </c>
      <c r="N213" s="14"/>
    </row>
    <row r="214" customFormat="false" ht="15" hidden="false" customHeight="false" outlineLevel="0" collapsed="false">
      <c r="G214" s="37" t="n">
        <f aca="false">IF(202&lt;=$B$6*12,202,"")</f>
        <v>202</v>
      </c>
      <c r="H214" s="37" t="n">
        <f aca="false">IF(G214="","",ROUNDUP(G214/12,0))</f>
        <v>17</v>
      </c>
      <c r="I214" s="14" t="n">
        <f aca="false">IF(G214="","",M213)</f>
        <v>1558576.34063938</v>
      </c>
      <c r="J214" s="14" t="n">
        <f aca="false">IF(G214="","",$E$5)</f>
        <v>46606.5593916759</v>
      </c>
      <c r="K214" s="14" t="n">
        <f aca="false">IF(G214="","",I214*$E$4/12)</f>
        <v>12338.7293633951</v>
      </c>
      <c r="L214" s="14" t="n">
        <f aca="false">IF(G214="","",J214-K214)</f>
        <v>34267.8300282808</v>
      </c>
      <c r="M214" s="14" t="n">
        <f aca="false">IF(G214="","",MAX(0,I214-L214))</f>
        <v>1524308.5106111</v>
      </c>
      <c r="N214" s="14"/>
    </row>
    <row r="215" customFormat="false" ht="15" hidden="false" customHeight="false" outlineLevel="0" collapsed="false">
      <c r="G215" s="37" t="n">
        <f aca="false">IF(203&lt;=$B$6*12,203,"")</f>
        <v>203</v>
      </c>
      <c r="H215" s="37" t="n">
        <f aca="false">IF(G215="","",ROUNDUP(G215/12,0))</f>
        <v>17</v>
      </c>
      <c r="I215" s="14" t="n">
        <f aca="false">IF(G215="","",M214)</f>
        <v>1524308.5106111</v>
      </c>
      <c r="J215" s="14" t="n">
        <f aca="false">IF(G215="","",$E$5)</f>
        <v>46606.5593916759</v>
      </c>
      <c r="K215" s="14" t="n">
        <f aca="false">IF(G215="","",I215*$E$4/12)</f>
        <v>12067.4423756712</v>
      </c>
      <c r="L215" s="14" t="n">
        <f aca="false">IF(G215="","",J215-K215)</f>
        <v>34539.1170160047</v>
      </c>
      <c r="M215" s="14" t="n">
        <f aca="false">IF(G215="","",MAX(0,I215-L215))</f>
        <v>1489769.39359509</v>
      </c>
      <c r="N215" s="14"/>
    </row>
    <row r="216" customFormat="false" ht="15" hidden="false" customHeight="false" outlineLevel="0" collapsed="false">
      <c r="G216" s="37" t="n">
        <f aca="false">IF(204&lt;=$B$6*12,204,"")</f>
        <v>204</v>
      </c>
      <c r="H216" s="37" t="n">
        <f aca="false">IF(G216="","",ROUNDUP(G216/12,0))</f>
        <v>17</v>
      </c>
      <c r="I216" s="14" t="n">
        <f aca="false">IF(G216="","",M215)</f>
        <v>1489769.39359509</v>
      </c>
      <c r="J216" s="14" t="n">
        <f aca="false">IF(G216="","",$E$5)</f>
        <v>46606.5593916759</v>
      </c>
      <c r="K216" s="14" t="n">
        <f aca="false">IF(G216="","",I216*$E$4/12)</f>
        <v>11794.0076992945</v>
      </c>
      <c r="L216" s="14" t="n">
        <f aca="false">IF(G216="","",J216-K216)</f>
        <v>34812.5516923814</v>
      </c>
      <c r="M216" s="14" t="n">
        <f aca="false">IF(G216="","",MAX(0,I216-L216))</f>
        <v>1454956.84190271</v>
      </c>
      <c r="N216" s="14"/>
    </row>
    <row r="217" customFormat="false" ht="15" hidden="false" customHeight="false" outlineLevel="0" collapsed="false">
      <c r="G217" s="37" t="n">
        <f aca="false">IF(205&lt;=$B$6*12,205,"")</f>
        <v>205</v>
      </c>
      <c r="H217" s="37" t="n">
        <f aca="false">IF(G217="","",ROUNDUP(G217/12,0))</f>
        <v>18</v>
      </c>
      <c r="I217" s="14" t="n">
        <f aca="false">IF(G217="","",M216)</f>
        <v>1454956.84190271</v>
      </c>
      <c r="J217" s="14" t="n">
        <f aca="false">IF(G217="","",$E$5)</f>
        <v>46606.5593916759</v>
      </c>
      <c r="K217" s="14" t="n">
        <f aca="false">IF(G217="","",I217*$E$4/12)</f>
        <v>11518.4083317298</v>
      </c>
      <c r="L217" s="14" t="n">
        <f aca="false">IF(G217="","",J217-K217)</f>
        <v>35088.1510599461</v>
      </c>
      <c r="M217" s="14" t="n">
        <f aca="false">IF(G217="","",MAX(0,I217-L217))</f>
        <v>1419868.69084276</v>
      </c>
      <c r="N217" s="14"/>
    </row>
    <row r="218" customFormat="false" ht="15" hidden="false" customHeight="false" outlineLevel="0" collapsed="false">
      <c r="G218" s="37" t="n">
        <f aca="false">IF(206&lt;=$B$6*12,206,"")</f>
        <v>206</v>
      </c>
      <c r="H218" s="37" t="n">
        <f aca="false">IF(G218="","",ROUNDUP(G218/12,0))</f>
        <v>18</v>
      </c>
      <c r="I218" s="14" t="n">
        <f aca="false">IF(G218="","",M217)</f>
        <v>1419868.69084276</v>
      </c>
      <c r="J218" s="14" t="n">
        <f aca="false">IF(G218="","",$E$5)</f>
        <v>46606.5593916759</v>
      </c>
      <c r="K218" s="14" t="n">
        <f aca="false">IF(G218="","",I218*$E$4/12)</f>
        <v>11240.6271358385</v>
      </c>
      <c r="L218" s="14" t="n">
        <f aca="false">IF(G218="","",J218-K218)</f>
        <v>35365.9322558374</v>
      </c>
      <c r="M218" s="14" t="n">
        <f aca="false">IF(G218="","",MAX(0,I218-L218))</f>
        <v>1384502.75858693</v>
      </c>
      <c r="N218" s="14"/>
    </row>
    <row r="219" customFormat="false" ht="15" hidden="false" customHeight="false" outlineLevel="0" collapsed="false">
      <c r="G219" s="37" t="n">
        <f aca="false">IF(207&lt;=$B$6*12,207,"")</f>
        <v>207</v>
      </c>
      <c r="H219" s="37" t="n">
        <f aca="false">IF(G219="","",ROUNDUP(G219/12,0))</f>
        <v>18</v>
      </c>
      <c r="I219" s="14" t="n">
        <f aca="false">IF(G219="","",M218)</f>
        <v>1384502.75858693</v>
      </c>
      <c r="J219" s="14" t="n">
        <f aca="false">IF(G219="","",$E$5)</f>
        <v>46606.5593916759</v>
      </c>
      <c r="K219" s="14" t="n">
        <f aca="false">IF(G219="","",I219*$E$4/12)</f>
        <v>10960.6468388132</v>
      </c>
      <c r="L219" s="14" t="n">
        <f aca="false">IF(G219="","",J219-K219)</f>
        <v>35645.9125528627</v>
      </c>
      <c r="M219" s="14" t="n">
        <f aca="false">IF(G219="","",MAX(0,I219-L219))</f>
        <v>1348856.84603406</v>
      </c>
      <c r="N219" s="14"/>
    </row>
    <row r="220" customFormat="false" ht="15" hidden="false" customHeight="false" outlineLevel="0" collapsed="false">
      <c r="G220" s="37" t="n">
        <f aca="false">IF(208&lt;=$B$6*12,208,"")</f>
        <v>208</v>
      </c>
      <c r="H220" s="37" t="n">
        <f aca="false">IF(G220="","",ROUNDUP(G220/12,0))</f>
        <v>18</v>
      </c>
      <c r="I220" s="14" t="n">
        <f aca="false">IF(G220="","",M219)</f>
        <v>1348856.84603406</v>
      </c>
      <c r="J220" s="14" t="n">
        <f aca="false">IF(G220="","",$E$5)</f>
        <v>46606.5593916759</v>
      </c>
      <c r="K220" s="14" t="n">
        <f aca="false">IF(G220="","",I220*$E$4/12)</f>
        <v>10678.450031103</v>
      </c>
      <c r="L220" s="14" t="n">
        <f aca="false">IF(G220="","",J220-K220)</f>
        <v>35928.1093605729</v>
      </c>
      <c r="M220" s="14" t="n">
        <f aca="false">IF(G220="","",MAX(0,I220-L220))</f>
        <v>1312928.73667349</v>
      </c>
      <c r="N220" s="14"/>
    </row>
    <row r="221" customFormat="false" ht="15" hidden="false" customHeight="false" outlineLevel="0" collapsed="false">
      <c r="G221" s="37" t="n">
        <f aca="false">IF(209&lt;=$B$6*12,209,"")</f>
        <v>209</v>
      </c>
      <c r="H221" s="37" t="n">
        <f aca="false">IF(G221="","",ROUNDUP(G221/12,0))</f>
        <v>18</v>
      </c>
      <c r="I221" s="14" t="n">
        <f aca="false">IF(G221="","",M220)</f>
        <v>1312928.73667349</v>
      </c>
      <c r="J221" s="14" t="n">
        <f aca="false">IF(G221="","",$E$5)</f>
        <v>46606.5593916759</v>
      </c>
      <c r="K221" s="14" t="n">
        <f aca="false">IF(G221="","",I221*$E$4/12)</f>
        <v>10394.0191653318</v>
      </c>
      <c r="L221" s="14" t="n">
        <f aca="false">IF(G221="","",J221-K221)</f>
        <v>36212.5402263441</v>
      </c>
      <c r="M221" s="14" t="n">
        <f aca="false">IF(G221="","",MAX(0,I221-L221))</f>
        <v>1276716.19644715</v>
      </c>
      <c r="N221" s="14"/>
    </row>
    <row r="222" customFormat="false" ht="15" hidden="false" customHeight="false" outlineLevel="0" collapsed="false">
      <c r="G222" s="37" t="n">
        <f aca="false">IF(210&lt;=$B$6*12,210,"")</f>
        <v>210</v>
      </c>
      <c r="H222" s="37" t="n">
        <f aca="false">IF(G222="","",ROUNDUP(G222/12,0))</f>
        <v>18</v>
      </c>
      <c r="I222" s="14" t="n">
        <f aca="false">IF(G222="","",M221)</f>
        <v>1276716.19644715</v>
      </c>
      <c r="J222" s="14" t="n">
        <f aca="false">IF(G222="","",$E$5)</f>
        <v>46606.5593916759</v>
      </c>
      <c r="K222" s="14" t="n">
        <f aca="false">IF(G222="","",I222*$E$4/12)</f>
        <v>10107.3365552066</v>
      </c>
      <c r="L222" s="14" t="n">
        <f aca="false">IF(G222="","",J222-K222)</f>
        <v>36499.2228364693</v>
      </c>
      <c r="M222" s="14" t="n">
        <f aca="false">IF(G222="","",MAX(0,I222-L222))</f>
        <v>1240216.97361068</v>
      </c>
      <c r="N222" s="14"/>
    </row>
    <row r="223" customFormat="false" ht="15" hidden="false" customHeight="false" outlineLevel="0" collapsed="false">
      <c r="G223" s="37" t="n">
        <f aca="false">IF(211&lt;=$B$6*12,211,"")</f>
        <v>211</v>
      </c>
      <c r="H223" s="37" t="n">
        <f aca="false">IF(G223="","",ROUNDUP(G223/12,0))</f>
        <v>18</v>
      </c>
      <c r="I223" s="14" t="n">
        <f aca="false">IF(G223="","",M222)</f>
        <v>1240216.97361068</v>
      </c>
      <c r="J223" s="14" t="n">
        <f aca="false">IF(G223="","",$E$5)</f>
        <v>46606.5593916759</v>
      </c>
      <c r="K223" s="14" t="n">
        <f aca="false">IF(G223="","",I223*$E$4/12)</f>
        <v>9818.38437441786</v>
      </c>
      <c r="L223" s="14" t="n">
        <f aca="false">IF(G223="","",J223-K223)</f>
        <v>36788.175017258</v>
      </c>
      <c r="M223" s="14" t="n">
        <f aca="false">IF(G223="","",MAX(0,I223-L223))</f>
        <v>1203428.79859342</v>
      </c>
      <c r="N223" s="14"/>
    </row>
    <row r="224" customFormat="false" ht="15" hidden="false" customHeight="false" outlineLevel="0" collapsed="false">
      <c r="G224" s="37" t="n">
        <f aca="false">IF(212&lt;=$B$6*12,212,"")</f>
        <v>212</v>
      </c>
      <c r="H224" s="37" t="n">
        <f aca="false">IF(G224="","",ROUNDUP(G224/12,0))</f>
        <v>18</v>
      </c>
      <c r="I224" s="14" t="n">
        <f aca="false">IF(G224="","",M223)</f>
        <v>1203428.79859342</v>
      </c>
      <c r="J224" s="14" t="n">
        <f aca="false">IF(G224="","",$E$5)</f>
        <v>46606.5593916759</v>
      </c>
      <c r="K224" s="14" t="n">
        <f aca="false">IF(G224="","",I224*$E$4/12)</f>
        <v>9527.14465553123</v>
      </c>
      <c r="L224" s="14" t="n">
        <f aca="false">IF(G224="","",J224-K224)</f>
        <v>37079.4147361447</v>
      </c>
      <c r="M224" s="14" t="n">
        <f aca="false">IF(G224="","",MAX(0,I224-L224))</f>
        <v>1166349.38385727</v>
      </c>
      <c r="N224" s="14"/>
    </row>
    <row r="225" customFormat="false" ht="15" hidden="false" customHeight="false" outlineLevel="0" collapsed="false">
      <c r="G225" s="37" t="n">
        <f aca="false">IF(213&lt;=$B$6*12,213,"")</f>
        <v>213</v>
      </c>
      <c r="H225" s="37" t="n">
        <f aca="false">IF(G225="","",ROUNDUP(G225/12,0))</f>
        <v>18</v>
      </c>
      <c r="I225" s="14" t="n">
        <f aca="false">IF(G225="","",M224)</f>
        <v>1166349.38385727</v>
      </c>
      <c r="J225" s="14" t="n">
        <f aca="false">IF(G225="","",$E$5)</f>
        <v>46606.5593916759</v>
      </c>
      <c r="K225" s="14" t="n">
        <f aca="false">IF(G225="","",I225*$E$4/12)</f>
        <v>9233.59928887009</v>
      </c>
      <c r="L225" s="14" t="n">
        <f aca="false">IF(G225="","",J225-K225)</f>
        <v>37372.9601028058</v>
      </c>
      <c r="M225" s="14" t="n">
        <f aca="false">IF(G225="","",MAX(0,I225-L225))</f>
        <v>1128976.42375447</v>
      </c>
      <c r="N225" s="14"/>
    </row>
    <row r="226" customFormat="false" ht="15" hidden="false" customHeight="false" outlineLevel="0" collapsed="false">
      <c r="G226" s="37" t="n">
        <f aca="false">IF(214&lt;=$B$6*12,214,"")</f>
        <v>214</v>
      </c>
      <c r="H226" s="37" t="n">
        <f aca="false">IF(G226="","",ROUNDUP(G226/12,0))</f>
        <v>18</v>
      </c>
      <c r="I226" s="14" t="n">
        <f aca="false">IF(G226="","",M225)</f>
        <v>1128976.42375447</v>
      </c>
      <c r="J226" s="14" t="n">
        <f aca="false">IF(G226="","",$E$5)</f>
        <v>46606.5593916759</v>
      </c>
      <c r="K226" s="14" t="n">
        <f aca="false">IF(G226="","",I226*$E$4/12)</f>
        <v>8937.73002138954</v>
      </c>
      <c r="L226" s="14" t="n">
        <f aca="false">IF(G226="","",J226-K226)</f>
        <v>37668.8293702864</v>
      </c>
      <c r="M226" s="14" t="n">
        <f aca="false">IF(G226="","",MAX(0,I226-L226))</f>
        <v>1091307.59438418</v>
      </c>
      <c r="N226" s="14"/>
    </row>
    <row r="227" customFormat="false" ht="15" hidden="false" customHeight="false" outlineLevel="0" collapsed="false">
      <c r="G227" s="37" t="n">
        <f aca="false">IF(215&lt;=$B$6*12,215,"")</f>
        <v>215</v>
      </c>
      <c r="H227" s="37" t="n">
        <f aca="false">IF(G227="","",ROUNDUP(G227/12,0))</f>
        <v>18</v>
      </c>
      <c r="I227" s="14" t="n">
        <f aca="false">IF(G227="","",M226)</f>
        <v>1091307.59438418</v>
      </c>
      <c r="J227" s="14" t="n">
        <f aca="false">IF(G227="","",$E$5)</f>
        <v>46606.5593916759</v>
      </c>
      <c r="K227" s="14" t="n">
        <f aca="false">IF(G227="","",I227*$E$4/12)</f>
        <v>8639.51845554144</v>
      </c>
      <c r="L227" s="14" t="n">
        <f aca="false">IF(G227="","",J227-K227)</f>
        <v>37967.0409361345</v>
      </c>
      <c r="M227" s="14" t="n">
        <f aca="false">IF(G227="","",MAX(0,I227-L227))</f>
        <v>1053340.55344805</v>
      </c>
      <c r="N227" s="14"/>
    </row>
    <row r="228" customFormat="false" ht="15" hidden="false" customHeight="false" outlineLevel="0" collapsed="false">
      <c r="G228" s="37" t="n">
        <f aca="false">IF(216&lt;=$B$6*12,216,"")</f>
        <v>216</v>
      </c>
      <c r="H228" s="37" t="n">
        <f aca="false">IF(G228="","",ROUNDUP(G228/12,0))</f>
        <v>18</v>
      </c>
      <c r="I228" s="14" t="n">
        <f aca="false">IF(G228="","",M227)</f>
        <v>1053340.55344805</v>
      </c>
      <c r="J228" s="14" t="n">
        <f aca="false">IF(G228="","",$E$5)</f>
        <v>46606.5593916759</v>
      </c>
      <c r="K228" s="14" t="n">
        <f aca="false">IF(G228="","",I228*$E$4/12)</f>
        <v>8338.94604813038</v>
      </c>
      <c r="L228" s="14" t="n">
        <f aca="false">IF(G228="","",J228-K228)</f>
        <v>38267.6133435455</v>
      </c>
      <c r="M228" s="14" t="n">
        <f aca="false">IF(G228="","",MAX(0,I228-L228))</f>
        <v>1015072.9401045</v>
      </c>
      <c r="N228" s="14"/>
    </row>
    <row r="229" customFormat="false" ht="15" hidden="false" customHeight="false" outlineLevel="0" collapsed="false">
      <c r="G229" s="37" t="n">
        <f aca="false">IF(217&lt;=$B$6*12,217,"")</f>
        <v>217</v>
      </c>
      <c r="H229" s="37" t="n">
        <f aca="false">IF(G229="","",ROUNDUP(G229/12,0))</f>
        <v>19</v>
      </c>
      <c r="I229" s="14" t="n">
        <f aca="false">IF(G229="","",M228)</f>
        <v>1015072.9401045</v>
      </c>
      <c r="J229" s="14" t="n">
        <f aca="false">IF(G229="","",$E$5)</f>
        <v>46606.5593916759</v>
      </c>
      <c r="K229" s="14" t="n">
        <f aca="false">IF(G229="","",I229*$E$4/12)</f>
        <v>8035.99410916064</v>
      </c>
      <c r="L229" s="14" t="n">
        <f aca="false">IF(G229="","",J229-K229)</f>
        <v>38570.5652825153</v>
      </c>
      <c r="M229" s="14" t="n">
        <f aca="false">IF(G229="","",MAX(0,I229-L229))</f>
        <v>976502.374821987</v>
      </c>
      <c r="N229" s="14"/>
    </row>
    <row r="230" customFormat="false" ht="15" hidden="false" customHeight="false" outlineLevel="0" collapsed="false">
      <c r="G230" s="37" t="n">
        <f aca="false">IF(218&lt;=$B$6*12,218,"")</f>
        <v>218</v>
      </c>
      <c r="H230" s="37" t="n">
        <f aca="false">IF(G230="","",ROUNDUP(G230/12,0))</f>
        <v>19</v>
      </c>
      <c r="I230" s="14" t="n">
        <f aca="false">IF(G230="","",M229)</f>
        <v>976502.374821987</v>
      </c>
      <c r="J230" s="14" t="n">
        <f aca="false">IF(G230="","",$E$5)</f>
        <v>46606.5593916759</v>
      </c>
      <c r="K230" s="14" t="n">
        <f aca="false">IF(G230="","",I230*$E$4/12)</f>
        <v>7730.64380067406</v>
      </c>
      <c r="L230" s="14" t="n">
        <f aca="false">IF(G230="","",J230-K230)</f>
        <v>38875.9155910018</v>
      </c>
      <c r="M230" s="14" t="n">
        <f aca="false">IF(G230="","",MAX(0,I230-L230))</f>
        <v>937626.459230985</v>
      </c>
      <c r="N230" s="14"/>
    </row>
    <row r="231" customFormat="false" ht="15" hidden="false" customHeight="false" outlineLevel="0" collapsed="false">
      <c r="G231" s="37" t="n">
        <f aca="false">IF(219&lt;=$B$6*12,219,"")</f>
        <v>219</v>
      </c>
      <c r="H231" s="37" t="n">
        <f aca="false">IF(G231="","",ROUNDUP(G231/12,0))</f>
        <v>19</v>
      </c>
      <c r="I231" s="14" t="n">
        <f aca="false">IF(G231="","",M230)</f>
        <v>937626.459230985</v>
      </c>
      <c r="J231" s="14" t="n">
        <f aca="false">IF(G231="","",$E$5)</f>
        <v>46606.5593916759</v>
      </c>
      <c r="K231" s="14" t="n">
        <f aca="false">IF(G231="","",I231*$E$4/12)</f>
        <v>7422.87613557863</v>
      </c>
      <c r="L231" s="14" t="n">
        <f aca="false">IF(G231="","",J231-K231)</f>
        <v>39183.6832560973</v>
      </c>
      <c r="M231" s="14" t="n">
        <f aca="false">IF(G231="","",MAX(0,I231-L231))</f>
        <v>898442.775974888</v>
      </c>
      <c r="N231" s="14"/>
    </row>
    <row r="232" customFormat="false" ht="15" hidden="false" customHeight="false" outlineLevel="0" collapsed="false">
      <c r="G232" s="37" t="n">
        <f aca="false">IF(220&lt;=$B$6*12,220,"")</f>
        <v>220</v>
      </c>
      <c r="H232" s="37" t="n">
        <f aca="false">IF(G232="","",ROUNDUP(G232/12,0))</f>
        <v>19</v>
      </c>
      <c r="I232" s="14" t="n">
        <f aca="false">IF(G232="","",M231)</f>
        <v>898442.775974888</v>
      </c>
      <c r="J232" s="14" t="n">
        <f aca="false">IF(G232="","",$E$5)</f>
        <v>46606.5593916759</v>
      </c>
      <c r="K232" s="14" t="n">
        <f aca="false">IF(G232="","",I232*$E$4/12)</f>
        <v>7112.67197646786</v>
      </c>
      <c r="L232" s="14" t="n">
        <f aca="false">IF(G232="","",J232-K232)</f>
        <v>39493.887415208</v>
      </c>
      <c r="M232" s="14" t="n">
        <f aca="false">IF(G232="","",MAX(0,I232-L232))</f>
        <v>858948.88855968</v>
      </c>
      <c r="N232" s="14"/>
    </row>
    <row r="233" customFormat="false" ht="15" hidden="false" customHeight="false" outlineLevel="0" collapsed="false">
      <c r="G233" s="37" t="n">
        <f aca="false">IF(221&lt;=$B$6*12,221,"")</f>
        <v>221</v>
      </c>
      <c r="H233" s="37" t="n">
        <f aca="false">IF(G233="","",ROUNDUP(G233/12,0))</f>
        <v>19</v>
      </c>
      <c r="I233" s="14" t="n">
        <f aca="false">IF(G233="","",M232)</f>
        <v>858948.88855968</v>
      </c>
      <c r="J233" s="14" t="n">
        <f aca="false">IF(G233="","",$E$5)</f>
        <v>46606.5593916759</v>
      </c>
      <c r="K233" s="14" t="n">
        <f aca="false">IF(G233="","",I233*$E$4/12)</f>
        <v>6800.0120344308</v>
      </c>
      <c r="L233" s="14" t="n">
        <f aca="false">IF(G233="","",J233-K233)</f>
        <v>39806.5473572451</v>
      </c>
      <c r="M233" s="14" t="n">
        <f aca="false">IF(G233="","",MAX(0,I233-L233))</f>
        <v>819142.341202435</v>
      </c>
      <c r="N233" s="14"/>
    </row>
    <row r="234" customFormat="false" ht="15" hidden="false" customHeight="false" outlineLevel="0" collapsed="false">
      <c r="G234" s="37" t="n">
        <f aca="false">IF(222&lt;=$B$6*12,222,"")</f>
        <v>222</v>
      </c>
      <c r="H234" s="37" t="n">
        <f aca="false">IF(G234="","",ROUNDUP(G234/12,0))</f>
        <v>19</v>
      </c>
      <c r="I234" s="14" t="n">
        <f aca="false">IF(G234="","",M233)</f>
        <v>819142.341202435</v>
      </c>
      <c r="J234" s="14" t="n">
        <f aca="false">IF(G234="","",$E$5)</f>
        <v>46606.5593916759</v>
      </c>
      <c r="K234" s="14" t="n">
        <f aca="false">IF(G234="","",I234*$E$4/12)</f>
        <v>6484.87686785261</v>
      </c>
      <c r="L234" s="14" t="n">
        <f aca="false">IF(G234="","",J234-K234)</f>
        <v>40121.6825238233</v>
      </c>
      <c r="M234" s="14" t="n">
        <f aca="false">IF(G234="","",MAX(0,I234-L234))</f>
        <v>779020.658678611</v>
      </c>
      <c r="N234" s="14"/>
    </row>
    <row r="235" customFormat="false" ht="15" hidden="false" customHeight="false" outlineLevel="0" collapsed="false">
      <c r="G235" s="37" t="n">
        <f aca="false">IF(223&lt;=$B$6*12,223,"")</f>
        <v>223</v>
      </c>
      <c r="H235" s="37" t="n">
        <f aca="false">IF(G235="","",ROUNDUP(G235/12,0))</f>
        <v>19</v>
      </c>
      <c r="I235" s="14" t="n">
        <f aca="false">IF(G235="","",M234)</f>
        <v>779020.658678611</v>
      </c>
      <c r="J235" s="14" t="n">
        <f aca="false">IF(G235="","",$E$5)</f>
        <v>46606.5593916759</v>
      </c>
      <c r="K235" s="14" t="n">
        <f aca="false">IF(G235="","",I235*$E$4/12)</f>
        <v>6167.24688120567</v>
      </c>
      <c r="L235" s="14" t="n">
        <f aca="false">IF(G235="","",J235-K235)</f>
        <v>40439.3125104702</v>
      </c>
      <c r="M235" s="14" t="n">
        <f aca="false">IF(G235="","",MAX(0,I235-L235))</f>
        <v>738581.346168141</v>
      </c>
      <c r="N235" s="14"/>
    </row>
    <row r="236" customFormat="false" ht="15" hidden="false" customHeight="false" outlineLevel="0" collapsed="false">
      <c r="G236" s="37" t="n">
        <f aca="false">IF(224&lt;=$B$6*12,224,"")</f>
        <v>224</v>
      </c>
      <c r="H236" s="37" t="n">
        <f aca="false">IF(G236="","",ROUNDUP(G236/12,0))</f>
        <v>19</v>
      </c>
      <c r="I236" s="14" t="n">
        <f aca="false">IF(G236="","",M235)</f>
        <v>738581.346168141</v>
      </c>
      <c r="J236" s="14" t="n">
        <f aca="false">IF(G236="","",$E$5)</f>
        <v>46606.5593916759</v>
      </c>
      <c r="K236" s="14" t="n">
        <f aca="false">IF(G236="","",I236*$E$4/12)</f>
        <v>5847.10232383111</v>
      </c>
      <c r="L236" s="14" t="n">
        <f aca="false">IF(G236="","",J236-K236)</f>
        <v>40759.4570678448</v>
      </c>
      <c r="M236" s="14" t="n">
        <f aca="false">IF(G236="","",MAX(0,I236-L236))</f>
        <v>697821.889100296</v>
      </c>
      <c r="N236" s="14"/>
    </row>
    <row r="237" customFormat="false" ht="15" hidden="false" customHeight="false" outlineLevel="0" collapsed="false">
      <c r="G237" s="37" t="n">
        <f aca="false">IF(225&lt;=$B$6*12,225,"")</f>
        <v>225</v>
      </c>
      <c r="H237" s="37" t="n">
        <f aca="false">IF(G237="","",ROUNDUP(G237/12,0))</f>
        <v>19</v>
      </c>
      <c r="I237" s="14" t="n">
        <f aca="false">IF(G237="","",M236)</f>
        <v>697821.889100296</v>
      </c>
      <c r="J237" s="14" t="n">
        <f aca="false">IF(G237="","",$E$5)</f>
        <v>46606.5593916759</v>
      </c>
      <c r="K237" s="14" t="n">
        <f aca="false">IF(G237="","",I237*$E$4/12)</f>
        <v>5524.42328871068</v>
      </c>
      <c r="L237" s="14" t="n">
        <f aca="false">IF(G237="","",J237-K237)</f>
        <v>41082.1361029652</v>
      </c>
      <c r="M237" s="14" t="n">
        <f aca="false">IF(G237="","",MAX(0,I237-L237))</f>
        <v>656739.752997331</v>
      </c>
      <c r="N237" s="14"/>
    </row>
    <row r="238" customFormat="false" ht="15" hidden="false" customHeight="false" outlineLevel="0" collapsed="false">
      <c r="G238" s="37" t="n">
        <f aca="false">IF(226&lt;=$B$6*12,226,"")</f>
        <v>226</v>
      </c>
      <c r="H238" s="37" t="n">
        <f aca="false">IF(G238="","",ROUNDUP(G238/12,0))</f>
        <v>19</v>
      </c>
      <c r="I238" s="14" t="n">
        <f aca="false">IF(G238="","",M237)</f>
        <v>656739.752997331</v>
      </c>
      <c r="J238" s="14" t="n">
        <f aca="false">IF(G238="","",$E$5)</f>
        <v>46606.5593916759</v>
      </c>
      <c r="K238" s="14" t="n">
        <f aca="false">IF(G238="","",I238*$E$4/12)</f>
        <v>5199.18971122887</v>
      </c>
      <c r="L238" s="14" t="n">
        <f aca="false">IF(G238="","",J238-K238)</f>
        <v>41407.369680447</v>
      </c>
      <c r="M238" s="14" t="n">
        <f aca="false">IF(G238="","",MAX(0,I238-L238))</f>
        <v>615332.383316884</v>
      </c>
      <c r="N238" s="14"/>
    </row>
    <row r="239" customFormat="false" ht="15" hidden="false" customHeight="false" outlineLevel="0" collapsed="false">
      <c r="G239" s="37" t="n">
        <f aca="false">IF(227&lt;=$B$6*12,227,"")</f>
        <v>227</v>
      </c>
      <c r="H239" s="37" t="n">
        <f aca="false">IF(G239="","",ROUNDUP(G239/12,0))</f>
        <v>19</v>
      </c>
      <c r="I239" s="14" t="n">
        <f aca="false">IF(G239="","",M238)</f>
        <v>615332.383316884</v>
      </c>
      <c r="J239" s="14" t="n">
        <f aca="false">IF(G239="","",$E$5)</f>
        <v>46606.5593916759</v>
      </c>
      <c r="K239" s="14" t="n">
        <f aca="false">IF(G239="","",I239*$E$4/12)</f>
        <v>4871.38136792533</v>
      </c>
      <c r="L239" s="14" t="n">
        <f aca="false">IF(G239="","",J239-K239)</f>
        <v>41735.1780237506</v>
      </c>
      <c r="M239" s="14" t="n">
        <f aca="false">IF(G239="","",MAX(0,I239-L239))</f>
        <v>573597.205293133</v>
      </c>
      <c r="N239" s="14"/>
    </row>
    <row r="240" customFormat="false" ht="15" hidden="false" customHeight="false" outlineLevel="0" collapsed="false">
      <c r="G240" s="37" t="n">
        <f aca="false">IF(228&lt;=$B$6*12,228,"")</f>
        <v>228</v>
      </c>
      <c r="H240" s="37" t="n">
        <f aca="false">IF(G240="","",ROUNDUP(G240/12,0))</f>
        <v>19</v>
      </c>
      <c r="I240" s="14" t="n">
        <f aca="false">IF(G240="","",M239)</f>
        <v>573597.205293133</v>
      </c>
      <c r="J240" s="14" t="n">
        <f aca="false">IF(G240="","",$E$5)</f>
        <v>46606.5593916759</v>
      </c>
      <c r="K240" s="14" t="n">
        <f aca="false">IF(G240="","",I240*$E$4/12)</f>
        <v>4540.97787523731</v>
      </c>
      <c r="L240" s="14" t="n">
        <f aca="false">IF(G240="","",J240-K240)</f>
        <v>42065.5815164386</v>
      </c>
      <c r="M240" s="14" t="n">
        <f aca="false">IF(G240="","",MAX(0,I240-L240))</f>
        <v>531531.623776695</v>
      </c>
      <c r="N240" s="14"/>
    </row>
    <row r="241" customFormat="false" ht="15" hidden="false" customHeight="false" outlineLevel="0" collapsed="false">
      <c r="G241" s="37" t="n">
        <f aca="false">IF(229&lt;=$B$6*12,229,"")</f>
        <v>229</v>
      </c>
      <c r="H241" s="37" t="n">
        <f aca="false">IF(G241="","",ROUNDUP(G241/12,0))</f>
        <v>20</v>
      </c>
      <c r="I241" s="14" t="n">
        <f aca="false">IF(G241="","",M240)</f>
        <v>531531.623776695</v>
      </c>
      <c r="J241" s="14" t="n">
        <f aca="false">IF(G241="","",$E$5)</f>
        <v>46606.5593916759</v>
      </c>
      <c r="K241" s="14" t="n">
        <f aca="false">IF(G241="","",I241*$E$4/12)</f>
        <v>4207.95868823217</v>
      </c>
      <c r="L241" s="14" t="n">
        <f aca="false">IF(G241="","",J241-K241)</f>
        <v>42398.6007034437</v>
      </c>
      <c r="M241" s="14" t="n">
        <f aca="false">IF(G241="","",MAX(0,I241-L241))</f>
        <v>489133.023073251</v>
      </c>
      <c r="N241" s="14"/>
    </row>
    <row r="242" customFormat="false" ht="15" hidden="false" customHeight="false" outlineLevel="0" collapsed="false">
      <c r="G242" s="37" t="n">
        <f aca="false">IF(230&lt;=$B$6*12,230,"")</f>
        <v>230</v>
      </c>
      <c r="H242" s="37" t="n">
        <f aca="false">IF(G242="","",ROUNDUP(G242/12,0))</f>
        <v>20</v>
      </c>
      <c r="I242" s="14" t="n">
        <f aca="false">IF(G242="","",M241)</f>
        <v>489133.023073251</v>
      </c>
      <c r="J242" s="14" t="n">
        <f aca="false">IF(G242="","",$E$5)</f>
        <v>46606.5593916759</v>
      </c>
      <c r="K242" s="14" t="n">
        <f aca="false">IF(G242="","",I242*$E$4/12)</f>
        <v>3872.3030993299</v>
      </c>
      <c r="L242" s="14" t="n">
        <f aca="false">IF(G242="","",J242-K242)</f>
        <v>42734.256292346</v>
      </c>
      <c r="M242" s="14" t="n">
        <f aca="false">IF(G242="","",MAX(0,I242-L242))</f>
        <v>446398.766780905</v>
      </c>
      <c r="N242" s="14"/>
    </row>
    <row r="243" customFormat="false" ht="15" hidden="false" customHeight="false" outlineLevel="0" collapsed="false">
      <c r="G243" s="37" t="n">
        <f aca="false">IF(231&lt;=$B$6*12,231,"")</f>
        <v>231</v>
      </c>
      <c r="H243" s="37" t="n">
        <f aca="false">IF(G243="","",ROUNDUP(G243/12,0))</f>
        <v>20</v>
      </c>
      <c r="I243" s="14" t="n">
        <f aca="false">IF(G243="","",M242)</f>
        <v>446398.766780905</v>
      </c>
      <c r="J243" s="14" t="n">
        <f aca="false">IF(G243="","",$E$5)</f>
        <v>46606.5593916759</v>
      </c>
      <c r="K243" s="14" t="n">
        <f aca="false">IF(G243="","",I243*$E$4/12)</f>
        <v>3533.9902370155</v>
      </c>
      <c r="L243" s="14" t="n">
        <f aca="false">IF(G243="","",J243-K243)</f>
        <v>43072.5691546604</v>
      </c>
      <c r="M243" s="14" t="n">
        <f aca="false">IF(G243="","",MAX(0,I243-L243))</f>
        <v>403326.197626245</v>
      </c>
      <c r="N243" s="14"/>
    </row>
    <row r="244" customFormat="false" ht="15" hidden="false" customHeight="false" outlineLevel="0" collapsed="false">
      <c r="G244" s="37" t="n">
        <f aca="false">IF(232&lt;=$B$6*12,232,"")</f>
        <v>232</v>
      </c>
      <c r="H244" s="37" t="n">
        <f aca="false">IF(G244="","",ROUNDUP(G244/12,0))</f>
        <v>20</v>
      </c>
      <c r="I244" s="14" t="n">
        <f aca="false">IF(G244="","",M243)</f>
        <v>403326.197626245</v>
      </c>
      <c r="J244" s="14" t="n">
        <f aca="false">IF(G244="","",$E$5)</f>
        <v>46606.5593916759</v>
      </c>
      <c r="K244" s="14" t="n">
        <f aca="false">IF(G244="","",I244*$E$4/12)</f>
        <v>3192.9990645411</v>
      </c>
      <c r="L244" s="14" t="n">
        <f aca="false">IF(G244="","",J244-K244)</f>
        <v>43413.5603271348</v>
      </c>
      <c r="M244" s="14" t="n">
        <f aca="false">IF(G244="","",MAX(0,I244-L244))</f>
        <v>359912.63729911</v>
      </c>
      <c r="N244" s="14"/>
    </row>
    <row r="245" customFormat="false" ht="15" hidden="false" customHeight="false" outlineLevel="0" collapsed="false">
      <c r="G245" s="37" t="n">
        <f aca="false">IF(233&lt;=$B$6*12,233,"")</f>
        <v>233</v>
      </c>
      <c r="H245" s="37" t="n">
        <f aca="false">IF(G245="","",ROUNDUP(G245/12,0))</f>
        <v>20</v>
      </c>
      <c r="I245" s="14" t="n">
        <f aca="false">IF(G245="","",M244)</f>
        <v>359912.63729911</v>
      </c>
      <c r="J245" s="14" t="n">
        <f aca="false">IF(G245="","",$E$5)</f>
        <v>46606.5593916759</v>
      </c>
      <c r="K245" s="14" t="n">
        <f aca="false">IF(G245="","",I245*$E$4/12)</f>
        <v>2849.30837861795</v>
      </c>
      <c r="L245" s="14" t="n">
        <f aca="false">IF(G245="","",J245-K245)</f>
        <v>43757.251013058</v>
      </c>
      <c r="M245" s="14" t="n">
        <f aca="false">IF(G245="","",MAX(0,I245-L245))</f>
        <v>316155.386286052</v>
      </c>
      <c r="N245" s="14"/>
    </row>
    <row r="246" customFormat="false" ht="15" hidden="false" customHeight="false" outlineLevel="0" collapsed="false">
      <c r="G246" s="37" t="n">
        <f aca="false">IF(234&lt;=$B$6*12,234,"")</f>
        <v>234</v>
      </c>
      <c r="H246" s="37" t="n">
        <f aca="false">IF(G246="","",ROUNDUP(G246/12,0))</f>
        <v>20</v>
      </c>
      <c r="I246" s="14" t="n">
        <f aca="false">IF(G246="","",M245)</f>
        <v>316155.386286052</v>
      </c>
      <c r="J246" s="14" t="n">
        <f aca="false">IF(G246="","",$E$5)</f>
        <v>46606.5593916759</v>
      </c>
      <c r="K246" s="14" t="n">
        <f aca="false">IF(G246="","",I246*$E$4/12)</f>
        <v>2502.89680809791</v>
      </c>
      <c r="L246" s="14" t="n">
        <f aca="false">IF(G246="","",J246-K246)</f>
        <v>44103.662583578</v>
      </c>
      <c r="M246" s="14" t="n">
        <f aca="false">IF(G246="","",MAX(0,I246-L246))</f>
        <v>272051.723702474</v>
      </c>
      <c r="N246" s="14"/>
    </row>
    <row r="247" customFormat="false" ht="15" hidden="false" customHeight="false" outlineLevel="0" collapsed="false">
      <c r="G247" s="37" t="n">
        <f aca="false">IF(235&lt;=$B$6*12,235,"")</f>
        <v>235</v>
      </c>
      <c r="H247" s="37" t="n">
        <f aca="false">IF(G247="","",ROUNDUP(G247/12,0))</f>
        <v>20</v>
      </c>
      <c r="I247" s="14" t="n">
        <f aca="false">IF(G247="","",M246)</f>
        <v>272051.723702474</v>
      </c>
      <c r="J247" s="14" t="n">
        <f aca="false">IF(G247="","",$E$5)</f>
        <v>46606.5593916759</v>
      </c>
      <c r="K247" s="14" t="n">
        <f aca="false">IF(G247="","",I247*$E$4/12)</f>
        <v>2153.74281264458</v>
      </c>
      <c r="L247" s="14" t="n">
        <f aca="false">IF(G247="","",J247-K247)</f>
        <v>44452.8165790313</v>
      </c>
      <c r="M247" s="14" t="n">
        <f aca="false">IF(G247="","",MAX(0,I247-L247))</f>
        <v>227598.907123442</v>
      </c>
      <c r="N247" s="14"/>
    </row>
    <row r="248" customFormat="false" ht="15" hidden="false" customHeight="false" outlineLevel="0" collapsed="false">
      <c r="G248" s="37" t="n">
        <f aca="false">IF(236&lt;=$B$6*12,236,"")</f>
        <v>236</v>
      </c>
      <c r="H248" s="37" t="n">
        <f aca="false">IF(G248="","",ROUNDUP(G248/12,0))</f>
        <v>20</v>
      </c>
      <c r="I248" s="14" t="n">
        <f aca="false">IF(G248="","",M247)</f>
        <v>227598.907123442</v>
      </c>
      <c r="J248" s="14" t="n">
        <f aca="false">IF(G248="","",$E$5)</f>
        <v>46606.5593916759</v>
      </c>
      <c r="K248" s="14" t="n">
        <f aca="false">IF(G248="","",I248*$E$4/12)</f>
        <v>1801.82468139392</v>
      </c>
      <c r="L248" s="14" t="n">
        <f aca="false">IF(G248="","",J248-K248)</f>
        <v>44804.734710282</v>
      </c>
      <c r="M248" s="14" t="n">
        <f aca="false">IF(G248="","",MAX(0,I248-L248))</f>
        <v>182794.172413161</v>
      </c>
      <c r="N248" s="14"/>
    </row>
    <row r="249" customFormat="false" ht="15" hidden="false" customHeight="false" outlineLevel="0" collapsed="false">
      <c r="G249" s="37" t="n">
        <f aca="false">IF(237&lt;=$B$6*12,237,"")</f>
        <v>237</v>
      </c>
      <c r="H249" s="37" t="n">
        <f aca="false">IF(G249="","",ROUNDUP(G249/12,0))</f>
        <v>20</v>
      </c>
      <c r="I249" s="14" t="n">
        <f aca="false">IF(G249="","",M248)</f>
        <v>182794.172413161</v>
      </c>
      <c r="J249" s="14" t="n">
        <f aca="false">IF(G249="","",$E$5)</f>
        <v>46606.5593916759</v>
      </c>
      <c r="K249" s="14" t="n">
        <f aca="false">IF(G249="","",I249*$E$4/12)</f>
        <v>1447.12053160419</v>
      </c>
      <c r="L249" s="14" t="n">
        <f aca="false">IF(G249="","",J249-K249)</f>
        <v>45159.4388600717</v>
      </c>
      <c r="M249" s="14" t="n">
        <f aca="false">IF(G249="","",MAX(0,I249-L249))</f>
        <v>137634.733553089</v>
      </c>
      <c r="N249" s="14"/>
    </row>
    <row r="250" customFormat="false" ht="15" hidden="false" customHeight="false" outlineLevel="0" collapsed="false">
      <c r="G250" s="37" t="n">
        <f aca="false">IF(238&lt;=$B$6*12,238,"")</f>
        <v>238</v>
      </c>
      <c r="H250" s="37" t="n">
        <f aca="false">IF(G250="","",ROUNDUP(G250/12,0))</f>
        <v>20</v>
      </c>
      <c r="I250" s="14" t="n">
        <f aca="false">IF(G250="","",M249)</f>
        <v>137634.733553089</v>
      </c>
      <c r="J250" s="14" t="n">
        <f aca="false">IF(G250="","",$E$5)</f>
        <v>46606.5593916759</v>
      </c>
      <c r="K250" s="14" t="n">
        <f aca="false">IF(G250="","",I250*$E$4/12)</f>
        <v>1089.60830729529</v>
      </c>
      <c r="L250" s="14" t="n">
        <f aca="false">IF(G250="","",J250-K250)</f>
        <v>45516.9510843806</v>
      </c>
      <c r="M250" s="14" t="n">
        <f aca="false">IF(G250="","",MAX(0,I250-L250))</f>
        <v>92117.7824687082</v>
      </c>
      <c r="N250" s="14"/>
    </row>
    <row r="251" customFormat="false" ht="15" hidden="false" customHeight="false" outlineLevel="0" collapsed="false">
      <c r="G251" s="37" t="n">
        <f aca="false">IF(239&lt;=$B$6*12,239,"")</f>
        <v>239</v>
      </c>
      <c r="H251" s="37" t="n">
        <f aca="false">IF(G251="","",ROUNDUP(G251/12,0))</f>
        <v>20</v>
      </c>
      <c r="I251" s="14" t="n">
        <f aca="false">IF(G251="","",M250)</f>
        <v>92117.7824687082</v>
      </c>
      <c r="J251" s="14" t="n">
        <f aca="false">IF(G251="","",$E$5)</f>
        <v>46606.5593916759</v>
      </c>
      <c r="K251" s="14" t="n">
        <f aca="false">IF(G251="","",I251*$E$4/12)</f>
        <v>729.265777877273</v>
      </c>
      <c r="L251" s="14" t="n">
        <f aca="false">IF(G251="","",J251-K251)</f>
        <v>45877.2936137986</v>
      </c>
      <c r="M251" s="14" t="n">
        <f aca="false">IF(G251="","",MAX(0,I251-L251))</f>
        <v>46240.4888549095</v>
      </c>
      <c r="N251" s="14"/>
    </row>
    <row r="252" customFormat="false" ht="15" hidden="false" customHeight="false" outlineLevel="0" collapsed="false">
      <c r="G252" s="37" t="n">
        <f aca="false">IF(240&lt;=$B$6*12,240,"")</f>
        <v>240</v>
      </c>
      <c r="H252" s="37" t="n">
        <f aca="false">IF(G252="","",ROUNDUP(G252/12,0))</f>
        <v>20</v>
      </c>
      <c r="I252" s="14" t="n">
        <f aca="false">IF(G252="","",M251)</f>
        <v>46240.4888549095</v>
      </c>
      <c r="J252" s="14" t="n">
        <f aca="false">IF(G252="","",$E$5)</f>
        <v>46606.5593916759</v>
      </c>
      <c r="K252" s="14" t="n">
        <f aca="false">IF(G252="","",I252*$E$4/12)</f>
        <v>366.070536768034</v>
      </c>
      <c r="L252" s="14" t="n">
        <f aca="false">IF(G252="","",J252-K252)</f>
        <v>46240.4888549079</v>
      </c>
      <c r="M252" s="14" t="n">
        <f aca="false">IF(G252="","",MAX(0,I252-L252))</f>
        <v>1.67347025126219E-009</v>
      </c>
      <c r="N252" s="14"/>
    </row>
    <row r="253" customFormat="false" ht="15" hidden="false" customHeight="false" outlineLevel="0" collapsed="false">
      <c r="G253" s="37" t="str">
        <f aca="false">IF(241&lt;=$B$6*12,241,"")</f>
        <v/>
      </c>
      <c r="H253" s="37" t="str">
        <f aca="false">IF(G253="","",ROUNDUP(G253/12,0))</f>
        <v/>
      </c>
      <c r="I253" s="14" t="str">
        <f aca="false">IF(G253="","",M252)</f>
        <v/>
      </c>
      <c r="J253" s="14" t="str">
        <f aca="false">IF(G253="","",$E$5)</f>
        <v/>
      </c>
      <c r="K253" s="14" t="str">
        <f aca="false">IF(G253="","",I253*$E$4/12)</f>
        <v/>
      </c>
      <c r="L253" s="14" t="str">
        <f aca="false">IF(G253="","",J253-K253)</f>
        <v/>
      </c>
      <c r="M253" s="14" t="str">
        <f aca="false">IF(G253="","",MAX(0,I253-L253))</f>
        <v/>
      </c>
      <c r="N253" s="14"/>
    </row>
    <row r="254" customFormat="false" ht="15" hidden="false" customHeight="false" outlineLevel="0" collapsed="false">
      <c r="G254" s="37" t="str">
        <f aca="false">IF(242&lt;=$B$6*12,242,"")</f>
        <v/>
      </c>
      <c r="H254" s="37" t="str">
        <f aca="false">IF(G254="","",ROUNDUP(G254/12,0))</f>
        <v/>
      </c>
      <c r="I254" s="14" t="str">
        <f aca="false">IF(G254="","",M253)</f>
        <v/>
      </c>
      <c r="J254" s="14" t="str">
        <f aca="false">IF(G254="","",$E$5)</f>
        <v/>
      </c>
      <c r="K254" s="14" t="str">
        <f aca="false">IF(G254="","",I254*$E$4/12)</f>
        <v/>
      </c>
      <c r="L254" s="14" t="str">
        <f aca="false">IF(G254="","",J254-K254)</f>
        <v/>
      </c>
      <c r="M254" s="14" t="str">
        <f aca="false">IF(G254="","",MAX(0,I254-L254))</f>
        <v/>
      </c>
      <c r="N254" s="14"/>
    </row>
    <row r="255" customFormat="false" ht="15" hidden="false" customHeight="false" outlineLevel="0" collapsed="false">
      <c r="G255" s="37" t="str">
        <f aca="false">IF(243&lt;=$B$6*12,243,"")</f>
        <v/>
      </c>
      <c r="H255" s="37" t="str">
        <f aca="false">IF(G255="","",ROUNDUP(G255/12,0))</f>
        <v/>
      </c>
      <c r="I255" s="14" t="str">
        <f aca="false">IF(G255="","",M254)</f>
        <v/>
      </c>
      <c r="J255" s="14" t="str">
        <f aca="false">IF(G255="","",$E$5)</f>
        <v/>
      </c>
      <c r="K255" s="14" t="str">
        <f aca="false">IF(G255="","",I255*$E$4/12)</f>
        <v/>
      </c>
      <c r="L255" s="14" t="str">
        <f aca="false">IF(G255="","",J255-K255)</f>
        <v/>
      </c>
      <c r="M255" s="14" t="str">
        <f aca="false">IF(G255="","",MAX(0,I255-L255))</f>
        <v/>
      </c>
      <c r="N255" s="14"/>
    </row>
    <row r="256" customFormat="false" ht="15" hidden="false" customHeight="false" outlineLevel="0" collapsed="false">
      <c r="G256" s="37" t="str">
        <f aca="false">IF(244&lt;=$B$6*12,244,"")</f>
        <v/>
      </c>
      <c r="H256" s="37" t="str">
        <f aca="false">IF(G256="","",ROUNDUP(G256/12,0))</f>
        <v/>
      </c>
      <c r="I256" s="14" t="str">
        <f aca="false">IF(G256="","",M255)</f>
        <v/>
      </c>
      <c r="J256" s="14" t="str">
        <f aca="false">IF(G256="","",$E$5)</f>
        <v/>
      </c>
      <c r="K256" s="14" t="str">
        <f aca="false">IF(G256="","",I256*$E$4/12)</f>
        <v/>
      </c>
      <c r="L256" s="14" t="str">
        <f aca="false">IF(G256="","",J256-K256)</f>
        <v/>
      </c>
      <c r="M256" s="14" t="str">
        <f aca="false">IF(G256="","",MAX(0,I256-L256))</f>
        <v/>
      </c>
      <c r="N256" s="14"/>
    </row>
    <row r="257" customFormat="false" ht="15" hidden="false" customHeight="false" outlineLevel="0" collapsed="false">
      <c r="G257" s="37" t="str">
        <f aca="false">IF(245&lt;=$B$6*12,245,"")</f>
        <v/>
      </c>
      <c r="H257" s="37" t="str">
        <f aca="false">IF(G257="","",ROUNDUP(G257/12,0))</f>
        <v/>
      </c>
      <c r="I257" s="14" t="str">
        <f aca="false">IF(G257="","",M256)</f>
        <v/>
      </c>
      <c r="J257" s="14" t="str">
        <f aca="false">IF(G257="","",$E$5)</f>
        <v/>
      </c>
      <c r="K257" s="14" t="str">
        <f aca="false">IF(G257="","",I257*$E$4/12)</f>
        <v/>
      </c>
      <c r="L257" s="14" t="str">
        <f aca="false">IF(G257="","",J257-K257)</f>
        <v/>
      </c>
      <c r="M257" s="14" t="str">
        <f aca="false">IF(G257="","",MAX(0,I257-L257))</f>
        <v/>
      </c>
      <c r="N257" s="14"/>
    </row>
    <row r="258" customFormat="false" ht="15" hidden="false" customHeight="false" outlineLevel="0" collapsed="false">
      <c r="G258" s="37" t="str">
        <f aca="false">IF(246&lt;=$B$6*12,246,"")</f>
        <v/>
      </c>
      <c r="H258" s="37" t="str">
        <f aca="false">IF(G258="","",ROUNDUP(G258/12,0))</f>
        <v/>
      </c>
      <c r="I258" s="14" t="str">
        <f aca="false">IF(G258="","",M257)</f>
        <v/>
      </c>
      <c r="J258" s="14" t="str">
        <f aca="false">IF(G258="","",$E$5)</f>
        <v/>
      </c>
      <c r="K258" s="14" t="str">
        <f aca="false">IF(G258="","",I258*$E$4/12)</f>
        <v/>
      </c>
      <c r="L258" s="14" t="str">
        <f aca="false">IF(G258="","",J258-K258)</f>
        <v/>
      </c>
      <c r="M258" s="14" t="str">
        <f aca="false">IF(G258="","",MAX(0,I258-L258))</f>
        <v/>
      </c>
      <c r="N258" s="14"/>
    </row>
    <row r="259" customFormat="false" ht="15" hidden="false" customHeight="false" outlineLevel="0" collapsed="false">
      <c r="G259" s="37" t="str">
        <f aca="false">IF(247&lt;=$B$6*12,247,"")</f>
        <v/>
      </c>
      <c r="H259" s="37" t="str">
        <f aca="false">IF(G259="","",ROUNDUP(G259/12,0))</f>
        <v/>
      </c>
      <c r="I259" s="14" t="str">
        <f aca="false">IF(G259="","",M258)</f>
        <v/>
      </c>
      <c r="J259" s="14" t="str">
        <f aca="false">IF(G259="","",$E$5)</f>
        <v/>
      </c>
      <c r="K259" s="14" t="str">
        <f aca="false">IF(G259="","",I259*$E$4/12)</f>
        <v/>
      </c>
      <c r="L259" s="14" t="str">
        <f aca="false">IF(G259="","",J259-K259)</f>
        <v/>
      </c>
      <c r="M259" s="14" t="str">
        <f aca="false">IF(G259="","",MAX(0,I259-L259))</f>
        <v/>
      </c>
      <c r="N259" s="14"/>
    </row>
    <row r="260" customFormat="false" ht="15" hidden="false" customHeight="false" outlineLevel="0" collapsed="false">
      <c r="G260" s="37" t="str">
        <f aca="false">IF(248&lt;=$B$6*12,248,"")</f>
        <v/>
      </c>
      <c r="H260" s="37" t="str">
        <f aca="false">IF(G260="","",ROUNDUP(G260/12,0))</f>
        <v/>
      </c>
      <c r="I260" s="14" t="str">
        <f aca="false">IF(G260="","",M259)</f>
        <v/>
      </c>
      <c r="J260" s="14" t="str">
        <f aca="false">IF(G260="","",$E$5)</f>
        <v/>
      </c>
      <c r="K260" s="14" t="str">
        <f aca="false">IF(G260="","",I260*$E$4/12)</f>
        <v/>
      </c>
      <c r="L260" s="14" t="str">
        <f aca="false">IF(G260="","",J260-K260)</f>
        <v/>
      </c>
      <c r="M260" s="14" t="str">
        <f aca="false">IF(G260="","",MAX(0,I260-L260))</f>
        <v/>
      </c>
      <c r="N260" s="14"/>
    </row>
    <row r="261" customFormat="false" ht="15" hidden="false" customHeight="false" outlineLevel="0" collapsed="false">
      <c r="G261" s="37" t="str">
        <f aca="false">IF(249&lt;=$B$6*12,249,"")</f>
        <v/>
      </c>
      <c r="H261" s="37" t="str">
        <f aca="false">IF(G261="","",ROUNDUP(G261/12,0))</f>
        <v/>
      </c>
      <c r="I261" s="14" t="str">
        <f aca="false">IF(G261="","",M260)</f>
        <v/>
      </c>
      <c r="J261" s="14" t="str">
        <f aca="false">IF(G261="","",$E$5)</f>
        <v/>
      </c>
      <c r="K261" s="14" t="str">
        <f aca="false">IF(G261="","",I261*$E$4/12)</f>
        <v/>
      </c>
      <c r="L261" s="14" t="str">
        <f aca="false">IF(G261="","",J261-K261)</f>
        <v/>
      </c>
      <c r="M261" s="14" t="str">
        <f aca="false">IF(G261="","",MAX(0,I261-L261))</f>
        <v/>
      </c>
      <c r="N261" s="14"/>
    </row>
    <row r="262" customFormat="false" ht="15" hidden="false" customHeight="false" outlineLevel="0" collapsed="false">
      <c r="G262" s="37" t="str">
        <f aca="false">IF(250&lt;=$B$6*12,250,"")</f>
        <v/>
      </c>
      <c r="H262" s="37" t="str">
        <f aca="false">IF(G262="","",ROUNDUP(G262/12,0))</f>
        <v/>
      </c>
      <c r="I262" s="14" t="str">
        <f aca="false">IF(G262="","",M261)</f>
        <v/>
      </c>
      <c r="J262" s="14" t="str">
        <f aca="false">IF(G262="","",$E$5)</f>
        <v/>
      </c>
      <c r="K262" s="14" t="str">
        <f aca="false">IF(G262="","",I262*$E$4/12)</f>
        <v/>
      </c>
      <c r="L262" s="14" t="str">
        <f aca="false">IF(G262="","",J262-K262)</f>
        <v/>
      </c>
      <c r="M262" s="14" t="str">
        <f aca="false">IF(G262="","",MAX(0,I262-L262))</f>
        <v/>
      </c>
      <c r="N262" s="14"/>
    </row>
    <row r="263" customFormat="false" ht="15" hidden="false" customHeight="false" outlineLevel="0" collapsed="false">
      <c r="G263" s="37" t="str">
        <f aca="false">IF(251&lt;=$B$6*12,251,"")</f>
        <v/>
      </c>
      <c r="H263" s="37" t="str">
        <f aca="false">IF(G263="","",ROUNDUP(G263/12,0))</f>
        <v/>
      </c>
      <c r="I263" s="14" t="str">
        <f aca="false">IF(G263="","",M262)</f>
        <v/>
      </c>
      <c r="J263" s="14" t="str">
        <f aca="false">IF(G263="","",$E$5)</f>
        <v/>
      </c>
      <c r="K263" s="14" t="str">
        <f aca="false">IF(G263="","",I263*$E$4/12)</f>
        <v/>
      </c>
      <c r="L263" s="14" t="str">
        <f aca="false">IF(G263="","",J263-K263)</f>
        <v/>
      </c>
      <c r="M263" s="14" t="str">
        <f aca="false">IF(G263="","",MAX(0,I263-L263))</f>
        <v/>
      </c>
      <c r="N263" s="14"/>
    </row>
    <row r="264" customFormat="false" ht="15" hidden="false" customHeight="false" outlineLevel="0" collapsed="false">
      <c r="G264" s="37" t="str">
        <f aca="false">IF(252&lt;=$B$6*12,252,"")</f>
        <v/>
      </c>
      <c r="H264" s="37" t="str">
        <f aca="false">IF(G264="","",ROUNDUP(G264/12,0))</f>
        <v/>
      </c>
      <c r="I264" s="14" t="str">
        <f aca="false">IF(G264="","",M263)</f>
        <v/>
      </c>
      <c r="J264" s="14" t="str">
        <f aca="false">IF(G264="","",$E$5)</f>
        <v/>
      </c>
      <c r="K264" s="14" t="str">
        <f aca="false">IF(G264="","",I264*$E$4/12)</f>
        <v/>
      </c>
      <c r="L264" s="14" t="str">
        <f aca="false">IF(G264="","",J264-K264)</f>
        <v/>
      </c>
      <c r="M264" s="14" t="str">
        <f aca="false">IF(G264="","",MAX(0,I264-L264))</f>
        <v/>
      </c>
      <c r="N264" s="14"/>
    </row>
    <row r="265" customFormat="false" ht="15" hidden="false" customHeight="false" outlineLevel="0" collapsed="false">
      <c r="G265" s="37" t="str">
        <f aca="false">IF(253&lt;=$B$6*12,253,"")</f>
        <v/>
      </c>
      <c r="H265" s="37" t="str">
        <f aca="false">IF(G265="","",ROUNDUP(G265/12,0))</f>
        <v/>
      </c>
      <c r="I265" s="14" t="str">
        <f aca="false">IF(G265="","",M264)</f>
        <v/>
      </c>
      <c r="J265" s="14" t="str">
        <f aca="false">IF(G265="","",$E$5)</f>
        <v/>
      </c>
      <c r="K265" s="14" t="str">
        <f aca="false">IF(G265="","",I265*$E$4/12)</f>
        <v/>
      </c>
      <c r="L265" s="14" t="str">
        <f aca="false">IF(G265="","",J265-K265)</f>
        <v/>
      </c>
      <c r="M265" s="14" t="str">
        <f aca="false">IF(G265="","",MAX(0,I265-L265))</f>
        <v/>
      </c>
      <c r="N265" s="14"/>
    </row>
    <row r="266" customFormat="false" ht="15" hidden="false" customHeight="false" outlineLevel="0" collapsed="false">
      <c r="G266" s="37" t="str">
        <f aca="false">IF(254&lt;=$B$6*12,254,"")</f>
        <v/>
      </c>
      <c r="H266" s="37" t="str">
        <f aca="false">IF(G266="","",ROUNDUP(G266/12,0))</f>
        <v/>
      </c>
      <c r="I266" s="14" t="str">
        <f aca="false">IF(G266="","",M265)</f>
        <v/>
      </c>
      <c r="J266" s="14" t="str">
        <f aca="false">IF(G266="","",$E$5)</f>
        <v/>
      </c>
      <c r="K266" s="14" t="str">
        <f aca="false">IF(G266="","",I266*$E$4/12)</f>
        <v/>
      </c>
      <c r="L266" s="14" t="str">
        <f aca="false">IF(G266="","",J266-K266)</f>
        <v/>
      </c>
      <c r="M266" s="14" t="str">
        <f aca="false">IF(G266="","",MAX(0,I266-L266))</f>
        <v/>
      </c>
      <c r="N266" s="14"/>
    </row>
    <row r="267" customFormat="false" ht="15" hidden="false" customHeight="false" outlineLevel="0" collapsed="false">
      <c r="G267" s="37" t="str">
        <f aca="false">IF(255&lt;=$B$6*12,255,"")</f>
        <v/>
      </c>
      <c r="H267" s="37" t="str">
        <f aca="false">IF(G267="","",ROUNDUP(G267/12,0))</f>
        <v/>
      </c>
      <c r="I267" s="14" t="str">
        <f aca="false">IF(G267="","",M266)</f>
        <v/>
      </c>
      <c r="J267" s="14" t="str">
        <f aca="false">IF(G267="","",$E$5)</f>
        <v/>
      </c>
      <c r="K267" s="14" t="str">
        <f aca="false">IF(G267="","",I267*$E$4/12)</f>
        <v/>
      </c>
      <c r="L267" s="14" t="str">
        <f aca="false">IF(G267="","",J267-K267)</f>
        <v/>
      </c>
      <c r="M267" s="14" t="str">
        <f aca="false">IF(G267="","",MAX(0,I267-L267))</f>
        <v/>
      </c>
      <c r="N267" s="14"/>
    </row>
    <row r="268" customFormat="false" ht="15" hidden="false" customHeight="false" outlineLevel="0" collapsed="false">
      <c r="G268" s="37" t="str">
        <f aca="false">IF(256&lt;=$B$6*12,256,"")</f>
        <v/>
      </c>
      <c r="H268" s="37" t="str">
        <f aca="false">IF(G268="","",ROUNDUP(G268/12,0))</f>
        <v/>
      </c>
      <c r="I268" s="14" t="str">
        <f aca="false">IF(G268="","",M267)</f>
        <v/>
      </c>
      <c r="J268" s="14" t="str">
        <f aca="false">IF(G268="","",$E$5)</f>
        <v/>
      </c>
      <c r="K268" s="14" t="str">
        <f aca="false">IF(G268="","",I268*$E$4/12)</f>
        <v/>
      </c>
      <c r="L268" s="14" t="str">
        <f aca="false">IF(G268="","",J268-K268)</f>
        <v/>
      </c>
      <c r="M268" s="14" t="str">
        <f aca="false">IF(G268="","",MAX(0,I268-L268))</f>
        <v/>
      </c>
      <c r="N268" s="14"/>
    </row>
    <row r="269" customFormat="false" ht="15" hidden="false" customHeight="false" outlineLevel="0" collapsed="false">
      <c r="G269" s="37" t="str">
        <f aca="false">IF(257&lt;=$B$6*12,257,"")</f>
        <v/>
      </c>
      <c r="H269" s="37" t="str">
        <f aca="false">IF(G269="","",ROUNDUP(G269/12,0))</f>
        <v/>
      </c>
      <c r="I269" s="14" t="str">
        <f aca="false">IF(G269="","",M268)</f>
        <v/>
      </c>
      <c r="J269" s="14" t="str">
        <f aca="false">IF(G269="","",$E$5)</f>
        <v/>
      </c>
      <c r="K269" s="14" t="str">
        <f aca="false">IF(G269="","",I269*$E$4/12)</f>
        <v/>
      </c>
      <c r="L269" s="14" t="str">
        <f aca="false">IF(G269="","",J269-K269)</f>
        <v/>
      </c>
      <c r="M269" s="14" t="str">
        <f aca="false">IF(G269="","",MAX(0,I269-L269))</f>
        <v/>
      </c>
      <c r="N269" s="14"/>
    </row>
    <row r="270" customFormat="false" ht="15" hidden="false" customHeight="false" outlineLevel="0" collapsed="false">
      <c r="G270" s="37" t="str">
        <f aca="false">IF(258&lt;=$B$6*12,258,"")</f>
        <v/>
      </c>
      <c r="H270" s="37" t="str">
        <f aca="false">IF(G270="","",ROUNDUP(G270/12,0))</f>
        <v/>
      </c>
      <c r="I270" s="14" t="str">
        <f aca="false">IF(G270="","",M269)</f>
        <v/>
      </c>
      <c r="J270" s="14" t="str">
        <f aca="false">IF(G270="","",$E$5)</f>
        <v/>
      </c>
      <c r="K270" s="14" t="str">
        <f aca="false">IF(G270="","",I270*$E$4/12)</f>
        <v/>
      </c>
      <c r="L270" s="14" t="str">
        <f aca="false">IF(G270="","",J270-K270)</f>
        <v/>
      </c>
      <c r="M270" s="14" t="str">
        <f aca="false">IF(G270="","",MAX(0,I270-L270))</f>
        <v/>
      </c>
      <c r="N270" s="14"/>
    </row>
    <row r="271" customFormat="false" ht="15" hidden="false" customHeight="false" outlineLevel="0" collapsed="false">
      <c r="G271" s="37" t="str">
        <f aca="false">IF(259&lt;=$B$6*12,259,"")</f>
        <v/>
      </c>
      <c r="H271" s="37" t="str">
        <f aca="false">IF(G271="","",ROUNDUP(G271/12,0))</f>
        <v/>
      </c>
      <c r="I271" s="14" t="str">
        <f aca="false">IF(G271="","",M270)</f>
        <v/>
      </c>
      <c r="J271" s="14" t="str">
        <f aca="false">IF(G271="","",$E$5)</f>
        <v/>
      </c>
      <c r="K271" s="14" t="str">
        <f aca="false">IF(G271="","",I271*$E$4/12)</f>
        <v/>
      </c>
      <c r="L271" s="14" t="str">
        <f aca="false">IF(G271="","",J271-K271)</f>
        <v/>
      </c>
      <c r="M271" s="14" t="str">
        <f aca="false">IF(G271="","",MAX(0,I271-L271))</f>
        <v/>
      </c>
      <c r="N271" s="14"/>
    </row>
    <row r="272" customFormat="false" ht="15" hidden="false" customHeight="false" outlineLevel="0" collapsed="false">
      <c r="G272" s="37" t="str">
        <f aca="false">IF(260&lt;=$B$6*12,260,"")</f>
        <v/>
      </c>
      <c r="H272" s="37" t="str">
        <f aca="false">IF(G272="","",ROUNDUP(G272/12,0))</f>
        <v/>
      </c>
      <c r="I272" s="14" t="str">
        <f aca="false">IF(G272="","",M271)</f>
        <v/>
      </c>
      <c r="J272" s="14" t="str">
        <f aca="false">IF(G272="","",$E$5)</f>
        <v/>
      </c>
      <c r="K272" s="14" t="str">
        <f aca="false">IF(G272="","",I272*$E$4/12)</f>
        <v/>
      </c>
      <c r="L272" s="14" t="str">
        <f aca="false">IF(G272="","",J272-K272)</f>
        <v/>
      </c>
      <c r="M272" s="14" t="str">
        <f aca="false">IF(G272="","",MAX(0,I272-L272))</f>
        <v/>
      </c>
      <c r="N272" s="14"/>
    </row>
    <row r="273" customFormat="false" ht="15" hidden="false" customHeight="false" outlineLevel="0" collapsed="false">
      <c r="G273" s="37" t="str">
        <f aca="false">IF(261&lt;=$B$6*12,261,"")</f>
        <v/>
      </c>
      <c r="H273" s="37" t="str">
        <f aca="false">IF(G273="","",ROUNDUP(G273/12,0))</f>
        <v/>
      </c>
      <c r="I273" s="14" t="str">
        <f aca="false">IF(G273="","",M272)</f>
        <v/>
      </c>
      <c r="J273" s="14" t="str">
        <f aca="false">IF(G273="","",$E$5)</f>
        <v/>
      </c>
      <c r="K273" s="14" t="str">
        <f aca="false">IF(G273="","",I273*$E$4/12)</f>
        <v/>
      </c>
      <c r="L273" s="14" t="str">
        <f aca="false">IF(G273="","",J273-K273)</f>
        <v/>
      </c>
      <c r="M273" s="14" t="str">
        <f aca="false">IF(G273="","",MAX(0,I273-L273))</f>
        <v/>
      </c>
      <c r="N273" s="14"/>
    </row>
    <row r="274" customFormat="false" ht="15" hidden="false" customHeight="false" outlineLevel="0" collapsed="false">
      <c r="G274" s="37" t="str">
        <f aca="false">IF(262&lt;=$B$6*12,262,"")</f>
        <v/>
      </c>
      <c r="H274" s="37" t="str">
        <f aca="false">IF(G274="","",ROUNDUP(G274/12,0))</f>
        <v/>
      </c>
      <c r="I274" s="14" t="str">
        <f aca="false">IF(G274="","",M273)</f>
        <v/>
      </c>
      <c r="J274" s="14" t="str">
        <f aca="false">IF(G274="","",$E$5)</f>
        <v/>
      </c>
      <c r="K274" s="14" t="str">
        <f aca="false">IF(G274="","",I274*$E$4/12)</f>
        <v/>
      </c>
      <c r="L274" s="14" t="str">
        <f aca="false">IF(G274="","",J274-K274)</f>
        <v/>
      </c>
      <c r="M274" s="14" t="str">
        <f aca="false">IF(G274="","",MAX(0,I274-L274))</f>
        <v/>
      </c>
      <c r="N274" s="14"/>
    </row>
    <row r="275" customFormat="false" ht="15" hidden="false" customHeight="false" outlineLevel="0" collapsed="false">
      <c r="G275" s="37" t="str">
        <f aca="false">IF(263&lt;=$B$6*12,263,"")</f>
        <v/>
      </c>
      <c r="H275" s="37" t="str">
        <f aca="false">IF(G275="","",ROUNDUP(G275/12,0))</f>
        <v/>
      </c>
      <c r="I275" s="14" t="str">
        <f aca="false">IF(G275="","",M274)</f>
        <v/>
      </c>
      <c r="J275" s="14" t="str">
        <f aca="false">IF(G275="","",$E$5)</f>
        <v/>
      </c>
      <c r="K275" s="14" t="str">
        <f aca="false">IF(G275="","",I275*$E$4/12)</f>
        <v/>
      </c>
      <c r="L275" s="14" t="str">
        <f aca="false">IF(G275="","",J275-K275)</f>
        <v/>
      </c>
      <c r="M275" s="14" t="str">
        <f aca="false">IF(G275="","",MAX(0,I275-L275))</f>
        <v/>
      </c>
      <c r="N275" s="14"/>
    </row>
    <row r="276" customFormat="false" ht="15" hidden="false" customHeight="false" outlineLevel="0" collapsed="false">
      <c r="G276" s="37" t="str">
        <f aca="false">IF(264&lt;=$B$6*12,264,"")</f>
        <v/>
      </c>
      <c r="H276" s="37" t="str">
        <f aca="false">IF(G276="","",ROUNDUP(G276/12,0))</f>
        <v/>
      </c>
      <c r="I276" s="14" t="str">
        <f aca="false">IF(G276="","",M275)</f>
        <v/>
      </c>
      <c r="J276" s="14" t="str">
        <f aca="false">IF(G276="","",$E$5)</f>
        <v/>
      </c>
      <c r="K276" s="14" t="str">
        <f aca="false">IF(G276="","",I276*$E$4/12)</f>
        <v/>
      </c>
      <c r="L276" s="14" t="str">
        <f aca="false">IF(G276="","",J276-K276)</f>
        <v/>
      </c>
      <c r="M276" s="14" t="str">
        <f aca="false">IF(G276="","",MAX(0,I276-L276))</f>
        <v/>
      </c>
      <c r="N276" s="14"/>
    </row>
    <row r="277" customFormat="false" ht="15" hidden="false" customHeight="false" outlineLevel="0" collapsed="false">
      <c r="G277" s="37" t="str">
        <f aca="false">IF(265&lt;=$B$6*12,265,"")</f>
        <v/>
      </c>
      <c r="H277" s="37" t="str">
        <f aca="false">IF(G277="","",ROUNDUP(G277/12,0))</f>
        <v/>
      </c>
      <c r="I277" s="14" t="str">
        <f aca="false">IF(G277="","",M276)</f>
        <v/>
      </c>
      <c r="J277" s="14" t="str">
        <f aca="false">IF(G277="","",$E$5)</f>
        <v/>
      </c>
      <c r="K277" s="14" t="str">
        <f aca="false">IF(G277="","",I277*$E$4/12)</f>
        <v/>
      </c>
      <c r="L277" s="14" t="str">
        <f aca="false">IF(G277="","",J277-K277)</f>
        <v/>
      </c>
      <c r="M277" s="14" t="str">
        <f aca="false">IF(G277="","",MAX(0,I277-L277))</f>
        <v/>
      </c>
      <c r="N277" s="14"/>
    </row>
    <row r="278" customFormat="false" ht="15" hidden="false" customHeight="false" outlineLevel="0" collapsed="false">
      <c r="G278" s="37" t="str">
        <f aca="false">IF(266&lt;=$B$6*12,266,"")</f>
        <v/>
      </c>
      <c r="H278" s="37" t="str">
        <f aca="false">IF(G278="","",ROUNDUP(G278/12,0))</f>
        <v/>
      </c>
      <c r="I278" s="14" t="str">
        <f aca="false">IF(G278="","",M277)</f>
        <v/>
      </c>
      <c r="J278" s="14" t="str">
        <f aca="false">IF(G278="","",$E$5)</f>
        <v/>
      </c>
      <c r="K278" s="14" t="str">
        <f aca="false">IF(G278="","",I278*$E$4/12)</f>
        <v/>
      </c>
      <c r="L278" s="14" t="str">
        <f aca="false">IF(G278="","",J278-K278)</f>
        <v/>
      </c>
      <c r="M278" s="14" t="str">
        <f aca="false">IF(G278="","",MAX(0,I278-L278))</f>
        <v/>
      </c>
      <c r="N278" s="14"/>
    </row>
    <row r="279" customFormat="false" ht="15" hidden="false" customHeight="false" outlineLevel="0" collapsed="false">
      <c r="G279" s="37" t="str">
        <f aca="false">IF(267&lt;=$B$6*12,267,"")</f>
        <v/>
      </c>
      <c r="H279" s="37" t="str">
        <f aca="false">IF(G279="","",ROUNDUP(G279/12,0))</f>
        <v/>
      </c>
      <c r="I279" s="14" t="str">
        <f aca="false">IF(G279="","",M278)</f>
        <v/>
      </c>
      <c r="J279" s="14" t="str">
        <f aca="false">IF(G279="","",$E$5)</f>
        <v/>
      </c>
      <c r="K279" s="14" t="str">
        <f aca="false">IF(G279="","",I279*$E$4/12)</f>
        <v/>
      </c>
      <c r="L279" s="14" t="str">
        <f aca="false">IF(G279="","",J279-K279)</f>
        <v/>
      </c>
      <c r="M279" s="14" t="str">
        <f aca="false">IF(G279="","",MAX(0,I279-L279))</f>
        <v/>
      </c>
      <c r="N279" s="14"/>
    </row>
    <row r="280" customFormat="false" ht="15" hidden="false" customHeight="false" outlineLevel="0" collapsed="false">
      <c r="G280" s="37" t="str">
        <f aca="false">IF(268&lt;=$B$6*12,268,"")</f>
        <v/>
      </c>
      <c r="H280" s="37" t="str">
        <f aca="false">IF(G280="","",ROUNDUP(G280/12,0))</f>
        <v/>
      </c>
      <c r="I280" s="14" t="str">
        <f aca="false">IF(G280="","",M279)</f>
        <v/>
      </c>
      <c r="J280" s="14" t="str">
        <f aca="false">IF(G280="","",$E$5)</f>
        <v/>
      </c>
      <c r="K280" s="14" t="str">
        <f aca="false">IF(G280="","",I280*$E$4/12)</f>
        <v/>
      </c>
      <c r="L280" s="14" t="str">
        <f aca="false">IF(G280="","",J280-K280)</f>
        <v/>
      </c>
      <c r="M280" s="14" t="str">
        <f aca="false">IF(G280="","",MAX(0,I280-L280))</f>
        <v/>
      </c>
      <c r="N280" s="14"/>
    </row>
    <row r="281" customFormat="false" ht="15" hidden="false" customHeight="false" outlineLevel="0" collapsed="false">
      <c r="G281" s="37" t="str">
        <f aca="false">IF(269&lt;=$B$6*12,269,"")</f>
        <v/>
      </c>
      <c r="H281" s="37" t="str">
        <f aca="false">IF(G281="","",ROUNDUP(G281/12,0))</f>
        <v/>
      </c>
      <c r="I281" s="14" t="str">
        <f aca="false">IF(G281="","",M280)</f>
        <v/>
      </c>
      <c r="J281" s="14" t="str">
        <f aca="false">IF(G281="","",$E$5)</f>
        <v/>
      </c>
      <c r="K281" s="14" t="str">
        <f aca="false">IF(G281="","",I281*$E$4/12)</f>
        <v/>
      </c>
      <c r="L281" s="14" t="str">
        <f aca="false">IF(G281="","",J281-K281)</f>
        <v/>
      </c>
      <c r="M281" s="14" t="str">
        <f aca="false">IF(G281="","",MAX(0,I281-L281))</f>
        <v/>
      </c>
      <c r="N281" s="14"/>
    </row>
    <row r="282" customFormat="false" ht="15" hidden="false" customHeight="false" outlineLevel="0" collapsed="false">
      <c r="G282" s="37" t="str">
        <f aca="false">IF(270&lt;=$B$6*12,270,"")</f>
        <v/>
      </c>
      <c r="H282" s="37" t="str">
        <f aca="false">IF(G282="","",ROUNDUP(G282/12,0))</f>
        <v/>
      </c>
      <c r="I282" s="14" t="str">
        <f aca="false">IF(G282="","",M281)</f>
        <v/>
      </c>
      <c r="J282" s="14" t="str">
        <f aca="false">IF(G282="","",$E$5)</f>
        <v/>
      </c>
      <c r="K282" s="14" t="str">
        <f aca="false">IF(G282="","",I282*$E$4/12)</f>
        <v/>
      </c>
      <c r="L282" s="14" t="str">
        <f aca="false">IF(G282="","",J282-K282)</f>
        <v/>
      </c>
      <c r="M282" s="14" t="str">
        <f aca="false">IF(G282="","",MAX(0,I282-L282))</f>
        <v/>
      </c>
      <c r="N282" s="14"/>
    </row>
    <row r="283" customFormat="false" ht="15" hidden="false" customHeight="false" outlineLevel="0" collapsed="false">
      <c r="G283" s="37" t="str">
        <f aca="false">IF(271&lt;=$B$6*12,271,"")</f>
        <v/>
      </c>
      <c r="H283" s="37" t="str">
        <f aca="false">IF(G283="","",ROUNDUP(G283/12,0))</f>
        <v/>
      </c>
      <c r="I283" s="14" t="str">
        <f aca="false">IF(G283="","",M282)</f>
        <v/>
      </c>
      <c r="J283" s="14" t="str">
        <f aca="false">IF(G283="","",$E$5)</f>
        <v/>
      </c>
      <c r="K283" s="14" t="str">
        <f aca="false">IF(G283="","",I283*$E$4/12)</f>
        <v/>
      </c>
      <c r="L283" s="14" t="str">
        <f aca="false">IF(G283="","",J283-K283)</f>
        <v/>
      </c>
      <c r="M283" s="14" t="str">
        <f aca="false">IF(G283="","",MAX(0,I283-L283))</f>
        <v/>
      </c>
      <c r="N283" s="14"/>
    </row>
    <row r="284" customFormat="false" ht="15" hidden="false" customHeight="false" outlineLevel="0" collapsed="false">
      <c r="G284" s="37" t="str">
        <f aca="false">IF(272&lt;=$B$6*12,272,"")</f>
        <v/>
      </c>
      <c r="H284" s="37" t="str">
        <f aca="false">IF(G284="","",ROUNDUP(G284/12,0))</f>
        <v/>
      </c>
      <c r="I284" s="14" t="str">
        <f aca="false">IF(G284="","",M283)</f>
        <v/>
      </c>
      <c r="J284" s="14" t="str">
        <f aca="false">IF(G284="","",$E$5)</f>
        <v/>
      </c>
      <c r="K284" s="14" t="str">
        <f aca="false">IF(G284="","",I284*$E$4/12)</f>
        <v/>
      </c>
      <c r="L284" s="14" t="str">
        <f aca="false">IF(G284="","",J284-K284)</f>
        <v/>
      </c>
      <c r="M284" s="14" t="str">
        <f aca="false">IF(G284="","",MAX(0,I284-L284))</f>
        <v/>
      </c>
      <c r="N284" s="14"/>
    </row>
    <row r="285" customFormat="false" ht="15" hidden="false" customHeight="false" outlineLevel="0" collapsed="false">
      <c r="G285" s="37" t="str">
        <f aca="false">IF(273&lt;=$B$6*12,273,"")</f>
        <v/>
      </c>
      <c r="H285" s="37" t="str">
        <f aca="false">IF(G285="","",ROUNDUP(G285/12,0))</f>
        <v/>
      </c>
      <c r="I285" s="14" t="str">
        <f aca="false">IF(G285="","",M284)</f>
        <v/>
      </c>
      <c r="J285" s="14" t="str">
        <f aca="false">IF(G285="","",$E$5)</f>
        <v/>
      </c>
      <c r="K285" s="14" t="str">
        <f aca="false">IF(G285="","",I285*$E$4/12)</f>
        <v/>
      </c>
      <c r="L285" s="14" t="str">
        <f aca="false">IF(G285="","",J285-K285)</f>
        <v/>
      </c>
      <c r="M285" s="14" t="str">
        <f aca="false">IF(G285="","",MAX(0,I285-L285))</f>
        <v/>
      </c>
      <c r="N285" s="14"/>
    </row>
    <row r="286" customFormat="false" ht="15" hidden="false" customHeight="false" outlineLevel="0" collapsed="false">
      <c r="G286" s="37" t="str">
        <f aca="false">IF(274&lt;=$B$6*12,274,"")</f>
        <v/>
      </c>
      <c r="H286" s="37" t="str">
        <f aca="false">IF(G286="","",ROUNDUP(G286/12,0))</f>
        <v/>
      </c>
      <c r="I286" s="14" t="str">
        <f aca="false">IF(G286="","",M285)</f>
        <v/>
      </c>
      <c r="J286" s="14" t="str">
        <f aca="false">IF(G286="","",$E$5)</f>
        <v/>
      </c>
      <c r="K286" s="14" t="str">
        <f aca="false">IF(G286="","",I286*$E$4/12)</f>
        <v/>
      </c>
      <c r="L286" s="14" t="str">
        <f aca="false">IF(G286="","",J286-K286)</f>
        <v/>
      </c>
      <c r="M286" s="14" t="str">
        <f aca="false">IF(G286="","",MAX(0,I286-L286))</f>
        <v/>
      </c>
      <c r="N286" s="14"/>
    </row>
    <row r="287" customFormat="false" ht="15" hidden="false" customHeight="false" outlineLevel="0" collapsed="false">
      <c r="G287" s="37" t="str">
        <f aca="false">IF(275&lt;=$B$6*12,275,"")</f>
        <v/>
      </c>
      <c r="H287" s="37" t="str">
        <f aca="false">IF(G287="","",ROUNDUP(G287/12,0))</f>
        <v/>
      </c>
      <c r="I287" s="14" t="str">
        <f aca="false">IF(G287="","",M286)</f>
        <v/>
      </c>
      <c r="J287" s="14" t="str">
        <f aca="false">IF(G287="","",$E$5)</f>
        <v/>
      </c>
      <c r="K287" s="14" t="str">
        <f aca="false">IF(G287="","",I287*$E$4/12)</f>
        <v/>
      </c>
      <c r="L287" s="14" t="str">
        <f aca="false">IF(G287="","",J287-K287)</f>
        <v/>
      </c>
      <c r="M287" s="14" t="str">
        <f aca="false">IF(G287="","",MAX(0,I287-L287))</f>
        <v/>
      </c>
      <c r="N287" s="14"/>
    </row>
    <row r="288" customFormat="false" ht="15" hidden="false" customHeight="false" outlineLevel="0" collapsed="false">
      <c r="G288" s="37" t="str">
        <f aca="false">IF(276&lt;=$B$6*12,276,"")</f>
        <v/>
      </c>
      <c r="H288" s="37" t="str">
        <f aca="false">IF(G288="","",ROUNDUP(G288/12,0))</f>
        <v/>
      </c>
      <c r="I288" s="14" t="str">
        <f aca="false">IF(G288="","",M287)</f>
        <v/>
      </c>
      <c r="J288" s="14" t="str">
        <f aca="false">IF(G288="","",$E$5)</f>
        <v/>
      </c>
      <c r="K288" s="14" t="str">
        <f aca="false">IF(G288="","",I288*$E$4/12)</f>
        <v/>
      </c>
      <c r="L288" s="14" t="str">
        <f aca="false">IF(G288="","",J288-K288)</f>
        <v/>
      </c>
      <c r="M288" s="14" t="str">
        <f aca="false">IF(G288="","",MAX(0,I288-L288))</f>
        <v/>
      </c>
      <c r="N288" s="14"/>
    </row>
    <row r="289" customFormat="false" ht="15" hidden="false" customHeight="false" outlineLevel="0" collapsed="false">
      <c r="G289" s="37" t="str">
        <f aca="false">IF(277&lt;=$B$6*12,277,"")</f>
        <v/>
      </c>
      <c r="H289" s="37" t="str">
        <f aca="false">IF(G289="","",ROUNDUP(G289/12,0))</f>
        <v/>
      </c>
      <c r="I289" s="14" t="str">
        <f aca="false">IF(G289="","",M288)</f>
        <v/>
      </c>
      <c r="J289" s="14" t="str">
        <f aca="false">IF(G289="","",$E$5)</f>
        <v/>
      </c>
      <c r="K289" s="14" t="str">
        <f aca="false">IF(G289="","",I289*$E$4/12)</f>
        <v/>
      </c>
      <c r="L289" s="14" t="str">
        <f aca="false">IF(G289="","",J289-K289)</f>
        <v/>
      </c>
      <c r="M289" s="14" t="str">
        <f aca="false">IF(G289="","",MAX(0,I289-L289))</f>
        <v/>
      </c>
      <c r="N289" s="14"/>
    </row>
    <row r="290" customFormat="false" ht="15" hidden="false" customHeight="false" outlineLevel="0" collapsed="false">
      <c r="G290" s="37" t="str">
        <f aca="false">IF(278&lt;=$B$6*12,278,"")</f>
        <v/>
      </c>
      <c r="H290" s="37" t="str">
        <f aca="false">IF(G290="","",ROUNDUP(G290/12,0))</f>
        <v/>
      </c>
      <c r="I290" s="14" t="str">
        <f aca="false">IF(G290="","",M289)</f>
        <v/>
      </c>
      <c r="J290" s="14" t="str">
        <f aca="false">IF(G290="","",$E$5)</f>
        <v/>
      </c>
      <c r="K290" s="14" t="str">
        <f aca="false">IF(G290="","",I290*$E$4/12)</f>
        <v/>
      </c>
      <c r="L290" s="14" t="str">
        <f aca="false">IF(G290="","",J290-K290)</f>
        <v/>
      </c>
      <c r="M290" s="14" t="str">
        <f aca="false">IF(G290="","",MAX(0,I290-L290))</f>
        <v/>
      </c>
      <c r="N290" s="14"/>
    </row>
    <row r="291" customFormat="false" ht="15" hidden="false" customHeight="false" outlineLevel="0" collapsed="false">
      <c r="G291" s="37" t="str">
        <f aca="false">IF(279&lt;=$B$6*12,279,"")</f>
        <v/>
      </c>
      <c r="H291" s="37" t="str">
        <f aca="false">IF(G291="","",ROUNDUP(G291/12,0))</f>
        <v/>
      </c>
      <c r="I291" s="14" t="str">
        <f aca="false">IF(G291="","",M290)</f>
        <v/>
      </c>
      <c r="J291" s="14" t="str">
        <f aca="false">IF(G291="","",$E$5)</f>
        <v/>
      </c>
      <c r="K291" s="14" t="str">
        <f aca="false">IF(G291="","",I291*$E$4/12)</f>
        <v/>
      </c>
      <c r="L291" s="14" t="str">
        <f aca="false">IF(G291="","",J291-K291)</f>
        <v/>
      </c>
      <c r="M291" s="14" t="str">
        <f aca="false">IF(G291="","",MAX(0,I291-L291))</f>
        <v/>
      </c>
      <c r="N291" s="14"/>
    </row>
    <row r="292" customFormat="false" ht="15" hidden="false" customHeight="false" outlineLevel="0" collapsed="false">
      <c r="G292" s="37" t="str">
        <f aca="false">IF(280&lt;=$B$6*12,280,"")</f>
        <v/>
      </c>
      <c r="H292" s="37" t="str">
        <f aca="false">IF(G292="","",ROUNDUP(G292/12,0))</f>
        <v/>
      </c>
      <c r="I292" s="14" t="str">
        <f aca="false">IF(G292="","",M291)</f>
        <v/>
      </c>
      <c r="J292" s="14" t="str">
        <f aca="false">IF(G292="","",$E$5)</f>
        <v/>
      </c>
      <c r="K292" s="14" t="str">
        <f aca="false">IF(G292="","",I292*$E$4/12)</f>
        <v/>
      </c>
      <c r="L292" s="14" t="str">
        <f aca="false">IF(G292="","",J292-K292)</f>
        <v/>
      </c>
      <c r="M292" s="14" t="str">
        <f aca="false">IF(G292="","",MAX(0,I292-L292))</f>
        <v/>
      </c>
      <c r="N292" s="14"/>
    </row>
    <row r="293" customFormat="false" ht="15" hidden="false" customHeight="false" outlineLevel="0" collapsed="false">
      <c r="G293" s="37" t="str">
        <f aca="false">IF(281&lt;=$B$6*12,281,"")</f>
        <v/>
      </c>
      <c r="H293" s="37" t="str">
        <f aca="false">IF(G293="","",ROUNDUP(G293/12,0))</f>
        <v/>
      </c>
      <c r="I293" s="14" t="str">
        <f aca="false">IF(G293="","",M292)</f>
        <v/>
      </c>
      <c r="J293" s="14" t="str">
        <f aca="false">IF(G293="","",$E$5)</f>
        <v/>
      </c>
      <c r="K293" s="14" t="str">
        <f aca="false">IF(G293="","",I293*$E$4/12)</f>
        <v/>
      </c>
      <c r="L293" s="14" t="str">
        <f aca="false">IF(G293="","",J293-K293)</f>
        <v/>
      </c>
      <c r="M293" s="14" t="str">
        <f aca="false">IF(G293="","",MAX(0,I293-L293))</f>
        <v/>
      </c>
      <c r="N293" s="14"/>
    </row>
    <row r="294" customFormat="false" ht="15" hidden="false" customHeight="false" outlineLevel="0" collapsed="false">
      <c r="G294" s="37" t="str">
        <f aca="false">IF(282&lt;=$B$6*12,282,"")</f>
        <v/>
      </c>
      <c r="H294" s="37" t="str">
        <f aca="false">IF(G294="","",ROUNDUP(G294/12,0))</f>
        <v/>
      </c>
      <c r="I294" s="14" t="str">
        <f aca="false">IF(G294="","",M293)</f>
        <v/>
      </c>
      <c r="J294" s="14" t="str">
        <f aca="false">IF(G294="","",$E$5)</f>
        <v/>
      </c>
      <c r="K294" s="14" t="str">
        <f aca="false">IF(G294="","",I294*$E$4/12)</f>
        <v/>
      </c>
      <c r="L294" s="14" t="str">
        <f aca="false">IF(G294="","",J294-K294)</f>
        <v/>
      </c>
      <c r="M294" s="14" t="str">
        <f aca="false">IF(G294="","",MAX(0,I294-L294))</f>
        <v/>
      </c>
      <c r="N294" s="14"/>
    </row>
    <row r="295" customFormat="false" ht="15" hidden="false" customHeight="false" outlineLevel="0" collapsed="false">
      <c r="G295" s="37" t="str">
        <f aca="false">IF(283&lt;=$B$6*12,283,"")</f>
        <v/>
      </c>
      <c r="H295" s="37" t="str">
        <f aca="false">IF(G295="","",ROUNDUP(G295/12,0))</f>
        <v/>
      </c>
      <c r="I295" s="14" t="str">
        <f aca="false">IF(G295="","",M294)</f>
        <v/>
      </c>
      <c r="J295" s="14" t="str">
        <f aca="false">IF(G295="","",$E$5)</f>
        <v/>
      </c>
      <c r="K295" s="14" t="str">
        <f aca="false">IF(G295="","",I295*$E$4/12)</f>
        <v/>
      </c>
      <c r="L295" s="14" t="str">
        <f aca="false">IF(G295="","",J295-K295)</f>
        <v/>
      </c>
      <c r="M295" s="14" t="str">
        <f aca="false">IF(G295="","",MAX(0,I295-L295))</f>
        <v/>
      </c>
      <c r="N295" s="14"/>
    </row>
    <row r="296" customFormat="false" ht="15" hidden="false" customHeight="false" outlineLevel="0" collapsed="false">
      <c r="G296" s="37" t="str">
        <f aca="false">IF(284&lt;=$B$6*12,284,"")</f>
        <v/>
      </c>
      <c r="H296" s="37" t="str">
        <f aca="false">IF(G296="","",ROUNDUP(G296/12,0))</f>
        <v/>
      </c>
      <c r="I296" s="14" t="str">
        <f aca="false">IF(G296="","",M295)</f>
        <v/>
      </c>
      <c r="J296" s="14" t="str">
        <f aca="false">IF(G296="","",$E$5)</f>
        <v/>
      </c>
      <c r="K296" s="14" t="str">
        <f aca="false">IF(G296="","",I296*$E$4/12)</f>
        <v/>
      </c>
      <c r="L296" s="14" t="str">
        <f aca="false">IF(G296="","",J296-K296)</f>
        <v/>
      </c>
      <c r="M296" s="14" t="str">
        <f aca="false">IF(G296="","",MAX(0,I296-L296))</f>
        <v/>
      </c>
      <c r="N296" s="14"/>
    </row>
    <row r="297" customFormat="false" ht="15" hidden="false" customHeight="false" outlineLevel="0" collapsed="false">
      <c r="G297" s="37" t="str">
        <f aca="false">IF(285&lt;=$B$6*12,285,"")</f>
        <v/>
      </c>
      <c r="H297" s="37" t="str">
        <f aca="false">IF(G297="","",ROUNDUP(G297/12,0))</f>
        <v/>
      </c>
      <c r="I297" s="14" t="str">
        <f aca="false">IF(G297="","",M296)</f>
        <v/>
      </c>
      <c r="J297" s="14" t="str">
        <f aca="false">IF(G297="","",$E$5)</f>
        <v/>
      </c>
      <c r="K297" s="14" t="str">
        <f aca="false">IF(G297="","",I297*$E$4/12)</f>
        <v/>
      </c>
      <c r="L297" s="14" t="str">
        <f aca="false">IF(G297="","",J297-K297)</f>
        <v/>
      </c>
      <c r="M297" s="14" t="str">
        <f aca="false">IF(G297="","",MAX(0,I297-L297))</f>
        <v/>
      </c>
      <c r="N297" s="14"/>
    </row>
    <row r="298" customFormat="false" ht="15" hidden="false" customHeight="false" outlineLevel="0" collapsed="false">
      <c r="G298" s="37" t="str">
        <f aca="false">IF(286&lt;=$B$6*12,286,"")</f>
        <v/>
      </c>
      <c r="H298" s="37" t="str">
        <f aca="false">IF(G298="","",ROUNDUP(G298/12,0))</f>
        <v/>
      </c>
      <c r="I298" s="14" t="str">
        <f aca="false">IF(G298="","",M297)</f>
        <v/>
      </c>
      <c r="J298" s="14" t="str">
        <f aca="false">IF(G298="","",$E$5)</f>
        <v/>
      </c>
      <c r="K298" s="14" t="str">
        <f aca="false">IF(G298="","",I298*$E$4/12)</f>
        <v/>
      </c>
      <c r="L298" s="14" t="str">
        <f aca="false">IF(G298="","",J298-K298)</f>
        <v/>
      </c>
      <c r="M298" s="14" t="str">
        <f aca="false">IF(G298="","",MAX(0,I298-L298))</f>
        <v/>
      </c>
      <c r="N298" s="14"/>
    </row>
    <row r="299" customFormat="false" ht="15" hidden="false" customHeight="false" outlineLevel="0" collapsed="false">
      <c r="G299" s="37" t="str">
        <f aca="false">IF(287&lt;=$B$6*12,287,"")</f>
        <v/>
      </c>
      <c r="H299" s="37" t="str">
        <f aca="false">IF(G299="","",ROUNDUP(G299/12,0))</f>
        <v/>
      </c>
      <c r="I299" s="14" t="str">
        <f aca="false">IF(G299="","",M298)</f>
        <v/>
      </c>
      <c r="J299" s="14" t="str">
        <f aca="false">IF(G299="","",$E$5)</f>
        <v/>
      </c>
      <c r="K299" s="14" t="str">
        <f aca="false">IF(G299="","",I299*$E$4/12)</f>
        <v/>
      </c>
      <c r="L299" s="14" t="str">
        <f aca="false">IF(G299="","",J299-K299)</f>
        <v/>
      </c>
      <c r="M299" s="14" t="str">
        <f aca="false">IF(G299="","",MAX(0,I299-L299))</f>
        <v/>
      </c>
      <c r="N299" s="14"/>
    </row>
    <row r="300" customFormat="false" ht="15" hidden="false" customHeight="false" outlineLevel="0" collapsed="false">
      <c r="G300" s="37" t="str">
        <f aca="false">IF(288&lt;=$B$6*12,288,"")</f>
        <v/>
      </c>
      <c r="H300" s="37" t="str">
        <f aca="false">IF(G300="","",ROUNDUP(G300/12,0))</f>
        <v/>
      </c>
      <c r="I300" s="14" t="str">
        <f aca="false">IF(G300="","",M299)</f>
        <v/>
      </c>
      <c r="J300" s="14" t="str">
        <f aca="false">IF(G300="","",$E$5)</f>
        <v/>
      </c>
      <c r="K300" s="14" t="str">
        <f aca="false">IF(G300="","",I300*$E$4/12)</f>
        <v/>
      </c>
      <c r="L300" s="14" t="str">
        <f aca="false">IF(G300="","",J300-K300)</f>
        <v/>
      </c>
      <c r="M300" s="14" t="str">
        <f aca="false">IF(G300="","",MAX(0,I300-L300))</f>
        <v/>
      </c>
      <c r="N300" s="14"/>
    </row>
    <row r="301" customFormat="false" ht="15" hidden="false" customHeight="false" outlineLevel="0" collapsed="false">
      <c r="G301" s="37" t="str">
        <f aca="false">IF(289&lt;=$B$6*12,289,"")</f>
        <v/>
      </c>
      <c r="H301" s="37" t="str">
        <f aca="false">IF(G301="","",ROUNDUP(G301/12,0))</f>
        <v/>
      </c>
      <c r="I301" s="14" t="str">
        <f aca="false">IF(G301="","",M300)</f>
        <v/>
      </c>
      <c r="J301" s="14" t="str">
        <f aca="false">IF(G301="","",$E$5)</f>
        <v/>
      </c>
      <c r="K301" s="14" t="str">
        <f aca="false">IF(G301="","",I301*$E$4/12)</f>
        <v/>
      </c>
      <c r="L301" s="14" t="str">
        <f aca="false">IF(G301="","",J301-K301)</f>
        <v/>
      </c>
      <c r="M301" s="14" t="str">
        <f aca="false">IF(G301="","",MAX(0,I301-L301))</f>
        <v/>
      </c>
      <c r="N301" s="14"/>
    </row>
    <row r="302" customFormat="false" ht="15" hidden="false" customHeight="false" outlineLevel="0" collapsed="false">
      <c r="G302" s="37" t="str">
        <f aca="false">IF(290&lt;=$B$6*12,290,"")</f>
        <v/>
      </c>
      <c r="H302" s="37" t="str">
        <f aca="false">IF(G302="","",ROUNDUP(G302/12,0))</f>
        <v/>
      </c>
      <c r="I302" s="14" t="str">
        <f aca="false">IF(G302="","",M301)</f>
        <v/>
      </c>
      <c r="J302" s="14" t="str">
        <f aca="false">IF(G302="","",$E$5)</f>
        <v/>
      </c>
      <c r="K302" s="14" t="str">
        <f aca="false">IF(G302="","",I302*$E$4/12)</f>
        <v/>
      </c>
      <c r="L302" s="14" t="str">
        <f aca="false">IF(G302="","",J302-K302)</f>
        <v/>
      </c>
      <c r="M302" s="14" t="str">
        <f aca="false">IF(G302="","",MAX(0,I302-L302))</f>
        <v/>
      </c>
      <c r="N302" s="14"/>
    </row>
    <row r="303" customFormat="false" ht="15" hidden="false" customHeight="false" outlineLevel="0" collapsed="false">
      <c r="G303" s="37" t="str">
        <f aca="false">IF(291&lt;=$B$6*12,291,"")</f>
        <v/>
      </c>
      <c r="H303" s="37" t="str">
        <f aca="false">IF(G303="","",ROUNDUP(G303/12,0))</f>
        <v/>
      </c>
      <c r="I303" s="14" t="str">
        <f aca="false">IF(G303="","",M302)</f>
        <v/>
      </c>
      <c r="J303" s="14" t="str">
        <f aca="false">IF(G303="","",$E$5)</f>
        <v/>
      </c>
      <c r="K303" s="14" t="str">
        <f aca="false">IF(G303="","",I303*$E$4/12)</f>
        <v/>
      </c>
      <c r="L303" s="14" t="str">
        <f aca="false">IF(G303="","",J303-K303)</f>
        <v/>
      </c>
      <c r="M303" s="14" t="str">
        <f aca="false">IF(G303="","",MAX(0,I303-L303))</f>
        <v/>
      </c>
      <c r="N303" s="14"/>
    </row>
    <row r="304" customFormat="false" ht="15" hidden="false" customHeight="false" outlineLevel="0" collapsed="false">
      <c r="G304" s="37" t="str">
        <f aca="false">IF(292&lt;=$B$6*12,292,"")</f>
        <v/>
      </c>
      <c r="H304" s="37" t="str">
        <f aca="false">IF(G304="","",ROUNDUP(G304/12,0))</f>
        <v/>
      </c>
      <c r="I304" s="14" t="str">
        <f aca="false">IF(G304="","",M303)</f>
        <v/>
      </c>
      <c r="J304" s="14" t="str">
        <f aca="false">IF(G304="","",$E$5)</f>
        <v/>
      </c>
      <c r="K304" s="14" t="str">
        <f aca="false">IF(G304="","",I304*$E$4/12)</f>
        <v/>
      </c>
      <c r="L304" s="14" t="str">
        <f aca="false">IF(G304="","",J304-K304)</f>
        <v/>
      </c>
      <c r="M304" s="14" t="str">
        <f aca="false">IF(G304="","",MAX(0,I304-L304))</f>
        <v/>
      </c>
      <c r="N304" s="14"/>
    </row>
    <row r="305" customFormat="false" ht="15" hidden="false" customHeight="false" outlineLevel="0" collapsed="false">
      <c r="G305" s="37" t="str">
        <f aca="false">IF(293&lt;=$B$6*12,293,"")</f>
        <v/>
      </c>
      <c r="H305" s="37" t="str">
        <f aca="false">IF(G305="","",ROUNDUP(G305/12,0))</f>
        <v/>
      </c>
      <c r="I305" s="14" t="str">
        <f aca="false">IF(G305="","",M304)</f>
        <v/>
      </c>
      <c r="J305" s="14" t="str">
        <f aca="false">IF(G305="","",$E$5)</f>
        <v/>
      </c>
      <c r="K305" s="14" t="str">
        <f aca="false">IF(G305="","",I305*$E$4/12)</f>
        <v/>
      </c>
      <c r="L305" s="14" t="str">
        <f aca="false">IF(G305="","",J305-K305)</f>
        <v/>
      </c>
      <c r="M305" s="14" t="str">
        <f aca="false">IF(G305="","",MAX(0,I305-L305))</f>
        <v/>
      </c>
      <c r="N305" s="14"/>
    </row>
    <row r="306" customFormat="false" ht="15" hidden="false" customHeight="false" outlineLevel="0" collapsed="false">
      <c r="G306" s="37" t="str">
        <f aca="false">IF(294&lt;=$B$6*12,294,"")</f>
        <v/>
      </c>
      <c r="H306" s="37" t="str">
        <f aca="false">IF(G306="","",ROUNDUP(G306/12,0))</f>
        <v/>
      </c>
      <c r="I306" s="14" t="str">
        <f aca="false">IF(G306="","",M305)</f>
        <v/>
      </c>
      <c r="J306" s="14" t="str">
        <f aca="false">IF(G306="","",$E$5)</f>
        <v/>
      </c>
      <c r="K306" s="14" t="str">
        <f aca="false">IF(G306="","",I306*$E$4/12)</f>
        <v/>
      </c>
      <c r="L306" s="14" t="str">
        <f aca="false">IF(G306="","",J306-K306)</f>
        <v/>
      </c>
      <c r="M306" s="14" t="str">
        <f aca="false">IF(G306="","",MAX(0,I306-L306))</f>
        <v/>
      </c>
      <c r="N306" s="14"/>
    </row>
    <row r="307" customFormat="false" ht="15" hidden="false" customHeight="false" outlineLevel="0" collapsed="false">
      <c r="G307" s="37" t="str">
        <f aca="false">IF(295&lt;=$B$6*12,295,"")</f>
        <v/>
      </c>
      <c r="H307" s="37" t="str">
        <f aca="false">IF(G307="","",ROUNDUP(G307/12,0))</f>
        <v/>
      </c>
      <c r="I307" s="14" t="str">
        <f aca="false">IF(G307="","",M306)</f>
        <v/>
      </c>
      <c r="J307" s="14" t="str">
        <f aca="false">IF(G307="","",$E$5)</f>
        <v/>
      </c>
      <c r="K307" s="14" t="str">
        <f aca="false">IF(G307="","",I307*$E$4/12)</f>
        <v/>
      </c>
      <c r="L307" s="14" t="str">
        <f aca="false">IF(G307="","",J307-K307)</f>
        <v/>
      </c>
      <c r="M307" s="14" t="str">
        <f aca="false">IF(G307="","",MAX(0,I307-L307))</f>
        <v/>
      </c>
      <c r="N307" s="14"/>
    </row>
    <row r="308" customFormat="false" ht="15" hidden="false" customHeight="false" outlineLevel="0" collapsed="false">
      <c r="G308" s="37" t="str">
        <f aca="false">IF(296&lt;=$B$6*12,296,"")</f>
        <v/>
      </c>
      <c r="H308" s="37" t="str">
        <f aca="false">IF(G308="","",ROUNDUP(G308/12,0))</f>
        <v/>
      </c>
      <c r="I308" s="14" t="str">
        <f aca="false">IF(G308="","",M307)</f>
        <v/>
      </c>
      <c r="J308" s="14" t="str">
        <f aca="false">IF(G308="","",$E$5)</f>
        <v/>
      </c>
      <c r="K308" s="14" t="str">
        <f aca="false">IF(G308="","",I308*$E$4/12)</f>
        <v/>
      </c>
      <c r="L308" s="14" t="str">
        <f aca="false">IF(G308="","",J308-K308)</f>
        <v/>
      </c>
      <c r="M308" s="14" t="str">
        <f aca="false">IF(G308="","",MAX(0,I308-L308))</f>
        <v/>
      </c>
      <c r="N308" s="14"/>
    </row>
    <row r="309" customFormat="false" ht="15" hidden="false" customHeight="false" outlineLevel="0" collapsed="false">
      <c r="G309" s="37" t="str">
        <f aca="false">IF(297&lt;=$B$6*12,297,"")</f>
        <v/>
      </c>
      <c r="H309" s="37" t="str">
        <f aca="false">IF(G309="","",ROUNDUP(G309/12,0))</f>
        <v/>
      </c>
      <c r="I309" s="14" t="str">
        <f aca="false">IF(G309="","",M308)</f>
        <v/>
      </c>
      <c r="J309" s="14" t="str">
        <f aca="false">IF(G309="","",$E$5)</f>
        <v/>
      </c>
      <c r="K309" s="14" t="str">
        <f aca="false">IF(G309="","",I309*$E$4/12)</f>
        <v/>
      </c>
      <c r="L309" s="14" t="str">
        <f aca="false">IF(G309="","",J309-K309)</f>
        <v/>
      </c>
      <c r="M309" s="14" t="str">
        <f aca="false">IF(G309="","",MAX(0,I309-L309))</f>
        <v/>
      </c>
      <c r="N309" s="14"/>
    </row>
    <row r="310" customFormat="false" ht="15" hidden="false" customHeight="false" outlineLevel="0" collapsed="false">
      <c r="G310" s="37" t="str">
        <f aca="false">IF(298&lt;=$B$6*12,298,"")</f>
        <v/>
      </c>
      <c r="H310" s="37" t="str">
        <f aca="false">IF(G310="","",ROUNDUP(G310/12,0))</f>
        <v/>
      </c>
      <c r="I310" s="14" t="str">
        <f aca="false">IF(G310="","",M309)</f>
        <v/>
      </c>
      <c r="J310" s="14" t="str">
        <f aca="false">IF(G310="","",$E$5)</f>
        <v/>
      </c>
      <c r="K310" s="14" t="str">
        <f aca="false">IF(G310="","",I310*$E$4/12)</f>
        <v/>
      </c>
      <c r="L310" s="14" t="str">
        <f aca="false">IF(G310="","",J310-K310)</f>
        <v/>
      </c>
      <c r="M310" s="14" t="str">
        <f aca="false">IF(G310="","",MAX(0,I310-L310))</f>
        <v/>
      </c>
      <c r="N310" s="14"/>
    </row>
    <row r="311" customFormat="false" ht="15" hidden="false" customHeight="false" outlineLevel="0" collapsed="false">
      <c r="G311" s="37" t="str">
        <f aca="false">IF(299&lt;=$B$6*12,299,"")</f>
        <v/>
      </c>
      <c r="H311" s="37" t="str">
        <f aca="false">IF(G311="","",ROUNDUP(G311/12,0))</f>
        <v/>
      </c>
      <c r="I311" s="14" t="str">
        <f aca="false">IF(G311="","",M310)</f>
        <v/>
      </c>
      <c r="J311" s="14" t="str">
        <f aca="false">IF(G311="","",$E$5)</f>
        <v/>
      </c>
      <c r="K311" s="14" t="str">
        <f aca="false">IF(G311="","",I311*$E$4/12)</f>
        <v/>
      </c>
      <c r="L311" s="14" t="str">
        <f aca="false">IF(G311="","",J311-K311)</f>
        <v/>
      </c>
      <c r="M311" s="14" t="str">
        <f aca="false">IF(G311="","",MAX(0,I311-L311))</f>
        <v/>
      </c>
      <c r="N311" s="14"/>
    </row>
    <row r="312" customFormat="false" ht="15" hidden="false" customHeight="false" outlineLevel="0" collapsed="false">
      <c r="G312" s="37" t="str">
        <f aca="false">IF(300&lt;=$B$6*12,300,"")</f>
        <v/>
      </c>
      <c r="H312" s="37" t="str">
        <f aca="false">IF(G312="","",ROUNDUP(G312/12,0))</f>
        <v/>
      </c>
      <c r="I312" s="14" t="str">
        <f aca="false">IF(G312="","",M311)</f>
        <v/>
      </c>
      <c r="J312" s="14" t="str">
        <f aca="false">IF(G312="","",$E$5)</f>
        <v/>
      </c>
      <c r="K312" s="14" t="str">
        <f aca="false">IF(G312="","",I312*$E$4/12)</f>
        <v/>
      </c>
      <c r="L312" s="14" t="str">
        <f aca="false">IF(G312="","",J312-K312)</f>
        <v/>
      </c>
      <c r="M312" s="14" t="str">
        <f aca="false">IF(G312="","",MAX(0,I312-L312))</f>
        <v/>
      </c>
      <c r="N312" s="14"/>
    </row>
    <row r="313" customFormat="false" ht="15" hidden="false" customHeight="false" outlineLevel="0" collapsed="false">
      <c r="G313" s="37" t="str">
        <f aca="false">IF(301&lt;=$B$6*12,301,"")</f>
        <v/>
      </c>
      <c r="H313" s="37" t="str">
        <f aca="false">IF(G313="","",ROUNDUP(G313/12,0))</f>
        <v/>
      </c>
      <c r="I313" s="14" t="str">
        <f aca="false">IF(G313="","",M312)</f>
        <v/>
      </c>
      <c r="J313" s="14" t="str">
        <f aca="false">IF(G313="","",$E$5)</f>
        <v/>
      </c>
      <c r="K313" s="14" t="str">
        <f aca="false">IF(G313="","",I313*$E$4/12)</f>
        <v/>
      </c>
      <c r="L313" s="14" t="str">
        <f aca="false">IF(G313="","",J313-K313)</f>
        <v/>
      </c>
      <c r="M313" s="14" t="str">
        <f aca="false">IF(G313="","",MAX(0,I313-L313))</f>
        <v/>
      </c>
      <c r="N313" s="14"/>
    </row>
    <row r="314" customFormat="false" ht="15" hidden="false" customHeight="false" outlineLevel="0" collapsed="false">
      <c r="G314" s="37" t="str">
        <f aca="false">IF(302&lt;=$B$6*12,302,"")</f>
        <v/>
      </c>
      <c r="H314" s="37" t="str">
        <f aca="false">IF(G314="","",ROUNDUP(G314/12,0))</f>
        <v/>
      </c>
      <c r="I314" s="14" t="str">
        <f aca="false">IF(G314="","",M313)</f>
        <v/>
      </c>
      <c r="J314" s="14" t="str">
        <f aca="false">IF(G314="","",$E$5)</f>
        <v/>
      </c>
      <c r="K314" s="14" t="str">
        <f aca="false">IF(G314="","",I314*$E$4/12)</f>
        <v/>
      </c>
      <c r="L314" s="14" t="str">
        <f aca="false">IF(G314="","",J314-K314)</f>
        <v/>
      </c>
      <c r="M314" s="14" t="str">
        <f aca="false">IF(G314="","",MAX(0,I314-L314))</f>
        <v/>
      </c>
      <c r="N314" s="14"/>
    </row>
    <row r="315" customFormat="false" ht="15" hidden="false" customHeight="false" outlineLevel="0" collapsed="false">
      <c r="G315" s="37" t="str">
        <f aca="false">IF(303&lt;=$B$6*12,303,"")</f>
        <v/>
      </c>
      <c r="H315" s="37" t="str">
        <f aca="false">IF(G315="","",ROUNDUP(G315/12,0))</f>
        <v/>
      </c>
      <c r="I315" s="14" t="str">
        <f aca="false">IF(G315="","",M314)</f>
        <v/>
      </c>
      <c r="J315" s="14" t="str">
        <f aca="false">IF(G315="","",$E$5)</f>
        <v/>
      </c>
      <c r="K315" s="14" t="str">
        <f aca="false">IF(G315="","",I315*$E$4/12)</f>
        <v/>
      </c>
      <c r="L315" s="14" t="str">
        <f aca="false">IF(G315="","",J315-K315)</f>
        <v/>
      </c>
      <c r="M315" s="14" t="str">
        <f aca="false">IF(G315="","",MAX(0,I315-L315))</f>
        <v/>
      </c>
      <c r="N315" s="14"/>
    </row>
    <row r="316" customFormat="false" ht="15" hidden="false" customHeight="false" outlineLevel="0" collapsed="false">
      <c r="G316" s="37" t="str">
        <f aca="false">IF(304&lt;=$B$6*12,304,"")</f>
        <v/>
      </c>
      <c r="H316" s="37" t="str">
        <f aca="false">IF(G316="","",ROUNDUP(G316/12,0))</f>
        <v/>
      </c>
      <c r="I316" s="14" t="str">
        <f aca="false">IF(G316="","",M315)</f>
        <v/>
      </c>
      <c r="J316" s="14" t="str">
        <f aca="false">IF(G316="","",$E$5)</f>
        <v/>
      </c>
      <c r="K316" s="14" t="str">
        <f aca="false">IF(G316="","",I316*$E$4/12)</f>
        <v/>
      </c>
      <c r="L316" s="14" t="str">
        <f aca="false">IF(G316="","",J316-K316)</f>
        <v/>
      </c>
      <c r="M316" s="14" t="str">
        <f aca="false">IF(G316="","",MAX(0,I316-L316))</f>
        <v/>
      </c>
      <c r="N316" s="14"/>
    </row>
    <row r="317" customFormat="false" ht="15" hidden="false" customHeight="false" outlineLevel="0" collapsed="false">
      <c r="G317" s="37" t="str">
        <f aca="false">IF(305&lt;=$B$6*12,305,"")</f>
        <v/>
      </c>
      <c r="H317" s="37" t="str">
        <f aca="false">IF(G317="","",ROUNDUP(G317/12,0))</f>
        <v/>
      </c>
      <c r="I317" s="14" t="str">
        <f aca="false">IF(G317="","",M316)</f>
        <v/>
      </c>
      <c r="J317" s="14" t="str">
        <f aca="false">IF(G317="","",$E$5)</f>
        <v/>
      </c>
      <c r="K317" s="14" t="str">
        <f aca="false">IF(G317="","",I317*$E$4/12)</f>
        <v/>
      </c>
      <c r="L317" s="14" t="str">
        <f aca="false">IF(G317="","",J317-K317)</f>
        <v/>
      </c>
      <c r="M317" s="14" t="str">
        <f aca="false">IF(G317="","",MAX(0,I317-L317))</f>
        <v/>
      </c>
      <c r="N317" s="14"/>
    </row>
    <row r="318" customFormat="false" ht="15" hidden="false" customHeight="false" outlineLevel="0" collapsed="false">
      <c r="G318" s="37" t="str">
        <f aca="false">IF(306&lt;=$B$6*12,306,"")</f>
        <v/>
      </c>
      <c r="H318" s="37" t="str">
        <f aca="false">IF(G318="","",ROUNDUP(G318/12,0))</f>
        <v/>
      </c>
      <c r="I318" s="14" t="str">
        <f aca="false">IF(G318="","",M317)</f>
        <v/>
      </c>
      <c r="J318" s="14" t="str">
        <f aca="false">IF(G318="","",$E$5)</f>
        <v/>
      </c>
      <c r="K318" s="14" t="str">
        <f aca="false">IF(G318="","",I318*$E$4/12)</f>
        <v/>
      </c>
      <c r="L318" s="14" t="str">
        <f aca="false">IF(G318="","",J318-K318)</f>
        <v/>
      </c>
      <c r="M318" s="14" t="str">
        <f aca="false">IF(G318="","",MAX(0,I318-L318))</f>
        <v/>
      </c>
      <c r="N318" s="14"/>
    </row>
    <row r="319" customFormat="false" ht="15" hidden="false" customHeight="false" outlineLevel="0" collapsed="false">
      <c r="G319" s="37" t="str">
        <f aca="false">IF(307&lt;=$B$6*12,307,"")</f>
        <v/>
      </c>
      <c r="H319" s="37" t="str">
        <f aca="false">IF(G319="","",ROUNDUP(G319/12,0))</f>
        <v/>
      </c>
      <c r="I319" s="14" t="str">
        <f aca="false">IF(G319="","",M318)</f>
        <v/>
      </c>
      <c r="J319" s="14" t="str">
        <f aca="false">IF(G319="","",$E$5)</f>
        <v/>
      </c>
      <c r="K319" s="14" t="str">
        <f aca="false">IF(G319="","",I319*$E$4/12)</f>
        <v/>
      </c>
      <c r="L319" s="14" t="str">
        <f aca="false">IF(G319="","",J319-K319)</f>
        <v/>
      </c>
      <c r="M319" s="14" t="str">
        <f aca="false">IF(G319="","",MAX(0,I319-L319))</f>
        <v/>
      </c>
      <c r="N319" s="14"/>
    </row>
    <row r="320" customFormat="false" ht="15" hidden="false" customHeight="false" outlineLevel="0" collapsed="false">
      <c r="G320" s="37" t="str">
        <f aca="false">IF(308&lt;=$B$6*12,308,"")</f>
        <v/>
      </c>
      <c r="H320" s="37" t="str">
        <f aca="false">IF(G320="","",ROUNDUP(G320/12,0))</f>
        <v/>
      </c>
      <c r="I320" s="14" t="str">
        <f aca="false">IF(G320="","",M319)</f>
        <v/>
      </c>
      <c r="J320" s="14" t="str">
        <f aca="false">IF(G320="","",$E$5)</f>
        <v/>
      </c>
      <c r="K320" s="14" t="str">
        <f aca="false">IF(G320="","",I320*$E$4/12)</f>
        <v/>
      </c>
      <c r="L320" s="14" t="str">
        <f aca="false">IF(G320="","",J320-K320)</f>
        <v/>
      </c>
      <c r="M320" s="14" t="str">
        <f aca="false">IF(G320="","",MAX(0,I320-L320))</f>
        <v/>
      </c>
      <c r="N320" s="14"/>
    </row>
    <row r="321" customFormat="false" ht="15" hidden="false" customHeight="false" outlineLevel="0" collapsed="false">
      <c r="G321" s="37" t="str">
        <f aca="false">IF(309&lt;=$B$6*12,309,"")</f>
        <v/>
      </c>
      <c r="H321" s="37" t="str">
        <f aca="false">IF(G321="","",ROUNDUP(G321/12,0))</f>
        <v/>
      </c>
      <c r="I321" s="14" t="str">
        <f aca="false">IF(G321="","",M320)</f>
        <v/>
      </c>
      <c r="J321" s="14" t="str">
        <f aca="false">IF(G321="","",$E$5)</f>
        <v/>
      </c>
      <c r="K321" s="14" t="str">
        <f aca="false">IF(G321="","",I321*$E$4/12)</f>
        <v/>
      </c>
      <c r="L321" s="14" t="str">
        <f aca="false">IF(G321="","",J321-K321)</f>
        <v/>
      </c>
      <c r="M321" s="14" t="str">
        <f aca="false">IF(G321="","",MAX(0,I321-L321))</f>
        <v/>
      </c>
      <c r="N321" s="14"/>
    </row>
    <row r="322" customFormat="false" ht="15" hidden="false" customHeight="false" outlineLevel="0" collapsed="false">
      <c r="G322" s="37" t="str">
        <f aca="false">IF(310&lt;=$B$6*12,310,"")</f>
        <v/>
      </c>
      <c r="H322" s="37" t="str">
        <f aca="false">IF(G322="","",ROUNDUP(G322/12,0))</f>
        <v/>
      </c>
      <c r="I322" s="14" t="str">
        <f aca="false">IF(G322="","",M321)</f>
        <v/>
      </c>
      <c r="J322" s="14" t="str">
        <f aca="false">IF(G322="","",$E$5)</f>
        <v/>
      </c>
      <c r="K322" s="14" t="str">
        <f aca="false">IF(G322="","",I322*$E$4/12)</f>
        <v/>
      </c>
      <c r="L322" s="14" t="str">
        <f aca="false">IF(G322="","",J322-K322)</f>
        <v/>
      </c>
      <c r="M322" s="14" t="str">
        <f aca="false">IF(G322="","",MAX(0,I322-L322))</f>
        <v/>
      </c>
      <c r="N322" s="14"/>
    </row>
    <row r="323" customFormat="false" ht="15" hidden="false" customHeight="false" outlineLevel="0" collapsed="false">
      <c r="G323" s="37" t="str">
        <f aca="false">IF(311&lt;=$B$6*12,311,"")</f>
        <v/>
      </c>
      <c r="H323" s="37" t="str">
        <f aca="false">IF(G323="","",ROUNDUP(G323/12,0))</f>
        <v/>
      </c>
      <c r="I323" s="14" t="str">
        <f aca="false">IF(G323="","",M322)</f>
        <v/>
      </c>
      <c r="J323" s="14" t="str">
        <f aca="false">IF(G323="","",$E$5)</f>
        <v/>
      </c>
      <c r="K323" s="14" t="str">
        <f aca="false">IF(G323="","",I323*$E$4/12)</f>
        <v/>
      </c>
      <c r="L323" s="14" t="str">
        <f aca="false">IF(G323="","",J323-K323)</f>
        <v/>
      </c>
      <c r="M323" s="14" t="str">
        <f aca="false">IF(G323="","",MAX(0,I323-L323))</f>
        <v/>
      </c>
      <c r="N323" s="14"/>
    </row>
    <row r="324" customFormat="false" ht="15" hidden="false" customHeight="false" outlineLevel="0" collapsed="false">
      <c r="G324" s="37" t="str">
        <f aca="false">IF(312&lt;=$B$6*12,312,"")</f>
        <v/>
      </c>
      <c r="H324" s="37" t="str">
        <f aca="false">IF(G324="","",ROUNDUP(G324/12,0))</f>
        <v/>
      </c>
      <c r="I324" s="14" t="str">
        <f aca="false">IF(G324="","",M323)</f>
        <v/>
      </c>
      <c r="J324" s="14" t="str">
        <f aca="false">IF(G324="","",$E$5)</f>
        <v/>
      </c>
      <c r="K324" s="14" t="str">
        <f aca="false">IF(G324="","",I324*$E$4/12)</f>
        <v/>
      </c>
      <c r="L324" s="14" t="str">
        <f aca="false">IF(G324="","",J324-K324)</f>
        <v/>
      </c>
      <c r="M324" s="14" t="str">
        <f aca="false">IF(G324="","",MAX(0,I324-L324))</f>
        <v/>
      </c>
      <c r="N324" s="14"/>
    </row>
    <row r="325" customFormat="false" ht="15" hidden="false" customHeight="false" outlineLevel="0" collapsed="false">
      <c r="G325" s="37" t="str">
        <f aca="false">IF(313&lt;=$B$6*12,313,"")</f>
        <v/>
      </c>
      <c r="H325" s="37" t="str">
        <f aca="false">IF(G325="","",ROUNDUP(G325/12,0))</f>
        <v/>
      </c>
      <c r="I325" s="14" t="str">
        <f aca="false">IF(G325="","",M324)</f>
        <v/>
      </c>
      <c r="J325" s="14" t="str">
        <f aca="false">IF(G325="","",$E$5)</f>
        <v/>
      </c>
      <c r="K325" s="14" t="str">
        <f aca="false">IF(G325="","",I325*$E$4/12)</f>
        <v/>
      </c>
      <c r="L325" s="14" t="str">
        <f aca="false">IF(G325="","",J325-K325)</f>
        <v/>
      </c>
      <c r="M325" s="14" t="str">
        <f aca="false">IF(G325="","",MAX(0,I325-L325))</f>
        <v/>
      </c>
      <c r="N325" s="14"/>
    </row>
    <row r="326" customFormat="false" ht="15" hidden="false" customHeight="false" outlineLevel="0" collapsed="false">
      <c r="G326" s="37" t="str">
        <f aca="false">IF(314&lt;=$B$6*12,314,"")</f>
        <v/>
      </c>
      <c r="H326" s="37" t="str">
        <f aca="false">IF(G326="","",ROUNDUP(G326/12,0))</f>
        <v/>
      </c>
      <c r="I326" s="14" t="str">
        <f aca="false">IF(G326="","",M325)</f>
        <v/>
      </c>
      <c r="J326" s="14" t="str">
        <f aca="false">IF(G326="","",$E$5)</f>
        <v/>
      </c>
      <c r="K326" s="14" t="str">
        <f aca="false">IF(G326="","",I326*$E$4/12)</f>
        <v/>
      </c>
      <c r="L326" s="14" t="str">
        <f aca="false">IF(G326="","",J326-K326)</f>
        <v/>
      </c>
      <c r="M326" s="14" t="str">
        <f aca="false">IF(G326="","",MAX(0,I326-L326))</f>
        <v/>
      </c>
      <c r="N326" s="14"/>
    </row>
    <row r="327" customFormat="false" ht="15" hidden="false" customHeight="false" outlineLevel="0" collapsed="false">
      <c r="G327" s="37" t="str">
        <f aca="false">IF(315&lt;=$B$6*12,315,"")</f>
        <v/>
      </c>
      <c r="H327" s="37" t="str">
        <f aca="false">IF(G327="","",ROUNDUP(G327/12,0))</f>
        <v/>
      </c>
      <c r="I327" s="14" t="str">
        <f aca="false">IF(G327="","",M326)</f>
        <v/>
      </c>
      <c r="J327" s="14" t="str">
        <f aca="false">IF(G327="","",$E$5)</f>
        <v/>
      </c>
      <c r="K327" s="14" t="str">
        <f aca="false">IF(G327="","",I327*$E$4/12)</f>
        <v/>
      </c>
      <c r="L327" s="14" t="str">
        <f aca="false">IF(G327="","",J327-K327)</f>
        <v/>
      </c>
      <c r="M327" s="14" t="str">
        <f aca="false">IF(G327="","",MAX(0,I327-L327))</f>
        <v/>
      </c>
      <c r="N327" s="14"/>
    </row>
    <row r="328" customFormat="false" ht="15" hidden="false" customHeight="false" outlineLevel="0" collapsed="false">
      <c r="G328" s="37" t="str">
        <f aca="false">IF(316&lt;=$B$6*12,316,"")</f>
        <v/>
      </c>
      <c r="H328" s="37" t="str">
        <f aca="false">IF(G328="","",ROUNDUP(G328/12,0))</f>
        <v/>
      </c>
      <c r="I328" s="14" t="str">
        <f aca="false">IF(G328="","",M327)</f>
        <v/>
      </c>
      <c r="J328" s="14" t="str">
        <f aca="false">IF(G328="","",$E$5)</f>
        <v/>
      </c>
      <c r="K328" s="14" t="str">
        <f aca="false">IF(G328="","",I328*$E$4/12)</f>
        <v/>
      </c>
      <c r="L328" s="14" t="str">
        <f aca="false">IF(G328="","",J328-K328)</f>
        <v/>
      </c>
      <c r="M328" s="14" t="str">
        <f aca="false">IF(G328="","",MAX(0,I328-L328))</f>
        <v/>
      </c>
      <c r="N328" s="14"/>
    </row>
    <row r="329" customFormat="false" ht="15" hidden="false" customHeight="false" outlineLevel="0" collapsed="false">
      <c r="G329" s="37" t="str">
        <f aca="false">IF(317&lt;=$B$6*12,317,"")</f>
        <v/>
      </c>
      <c r="H329" s="37" t="str">
        <f aca="false">IF(G329="","",ROUNDUP(G329/12,0))</f>
        <v/>
      </c>
      <c r="I329" s="14" t="str">
        <f aca="false">IF(G329="","",M328)</f>
        <v/>
      </c>
      <c r="J329" s="14" t="str">
        <f aca="false">IF(G329="","",$E$5)</f>
        <v/>
      </c>
      <c r="K329" s="14" t="str">
        <f aca="false">IF(G329="","",I329*$E$4/12)</f>
        <v/>
      </c>
      <c r="L329" s="14" t="str">
        <f aca="false">IF(G329="","",J329-K329)</f>
        <v/>
      </c>
      <c r="M329" s="14" t="str">
        <f aca="false">IF(G329="","",MAX(0,I329-L329))</f>
        <v/>
      </c>
      <c r="N329" s="14"/>
    </row>
    <row r="330" customFormat="false" ht="15" hidden="false" customHeight="false" outlineLevel="0" collapsed="false">
      <c r="G330" s="37" t="str">
        <f aca="false">IF(318&lt;=$B$6*12,318,"")</f>
        <v/>
      </c>
      <c r="H330" s="37" t="str">
        <f aca="false">IF(G330="","",ROUNDUP(G330/12,0))</f>
        <v/>
      </c>
      <c r="I330" s="14" t="str">
        <f aca="false">IF(G330="","",M329)</f>
        <v/>
      </c>
      <c r="J330" s="14" t="str">
        <f aca="false">IF(G330="","",$E$5)</f>
        <v/>
      </c>
      <c r="K330" s="14" t="str">
        <f aca="false">IF(G330="","",I330*$E$4/12)</f>
        <v/>
      </c>
      <c r="L330" s="14" t="str">
        <f aca="false">IF(G330="","",J330-K330)</f>
        <v/>
      </c>
      <c r="M330" s="14" t="str">
        <f aca="false">IF(G330="","",MAX(0,I330-L330))</f>
        <v/>
      </c>
      <c r="N330" s="14"/>
    </row>
    <row r="331" customFormat="false" ht="15" hidden="false" customHeight="false" outlineLevel="0" collapsed="false">
      <c r="G331" s="37" t="str">
        <f aca="false">IF(319&lt;=$B$6*12,319,"")</f>
        <v/>
      </c>
      <c r="H331" s="37" t="str">
        <f aca="false">IF(G331="","",ROUNDUP(G331/12,0))</f>
        <v/>
      </c>
      <c r="I331" s="14" t="str">
        <f aca="false">IF(G331="","",M330)</f>
        <v/>
      </c>
      <c r="J331" s="14" t="str">
        <f aca="false">IF(G331="","",$E$5)</f>
        <v/>
      </c>
      <c r="K331" s="14" t="str">
        <f aca="false">IF(G331="","",I331*$E$4/12)</f>
        <v/>
      </c>
      <c r="L331" s="14" t="str">
        <f aca="false">IF(G331="","",J331-K331)</f>
        <v/>
      </c>
      <c r="M331" s="14" t="str">
        <f aca="false">IF(G331="","",MAX(0,I331-L331))</f>
        <v/>
      </c>
      <c r="N331" s="14"/>
    </row>
    <row r="332" customFormat="false" ht="15" hidden="false" customHeight="false" outlineLevel="0" collapsed="false">
      <c r="G332" s="37" t="str">
        <f aca="false">IF(320&lt;=$B$6*12,320,"")</f>
        <v/>
      </c>
      <c r="H332" s="37" t="str">
        <f aca="false">IF(G332="","",ROUNDUP(G332/12,0))</f>
        <v/>
      </c>
      <c r="I332" s="14" t="str">
        <f aca="false">IF(G332="","",M331)</f>
        <v/>
      </c>
      <c r="J332" s="14" t="str">
        <f aca="false">IF(G332="","",$E$5)</f>
        <v/>
      </c>
      <c r="K332" s="14" t="str">
        <f aca="false">IF(G332="","",I332*$E$4/12)</f>
        <v/>
      </c>
      <c r="L332" s="14" t="str">
        <f aca="false">IF(G332="","",J332-K332)</f>
        <v/>
      </c>
      <c r="M332" s="14" t="str">
        <f aca="false">IF(G332="","",MAX(0,I332-L332))</f>
        <v/>
      </c>
      <c r="N332" s="14"/>
    </row>
    <row r="333" customFormat="false" ht="15" hidden="false" customHeight="false" outlineLevel="0" collapsed="false">
      <c r="G333" s="37" t="str">
        <f aca="false">IF(321&lt;=$B$6*12,321,"")</f>
        <v/>
      </c>
      <c r="H333" s="37" t="str">
        <f aca="false">IF(G333="","",ROUNDUP(G333/12,0))</f>
        <v/>
      </c>
      <c r="I333" s="14" t="str">
        <f aca="false">IF(G333="","",M332)</f>
        <v/>
      </c>
      <c r="J333" s="14" t="str">
        <f aca="false">IF(G333="","",$E$5)</f>
        <v/>
      </c>
      <c r="K333" s="14" t="str">
        <f aca="false">IF(G333="","",I333*$E$4/12)</f>
        <v/>
      </c>
      <c r="L333" s="14" t="str">
        <f aca="false">IF(G333="","",J333-K333)</f>
        <v/>
      </c>
      <c r="M333" s="14" t="str">
        <f aca="false">IF(G333="","",MAX(0,I333-L333))</f>
        <v/>
      </c>
      <c r="N333" s="14"/>
    </row>
    <row r="334" customFormat="false" ht="15" hidden="false" customHeight="false" outlineLevel="0" collapsed="false">
      <c r="G334" s="37" t="str">
        <f aca="false">IF(322&lt;=$B$6*12,322,"")</f>
        <v/>
      </c>
      <c r="H334" s="37" t="str">
        <f aca="false">IF(G334="","",ROUNDUP(G334/12,0))</f>
        <v/>
      </c>
      <c r="I334" s="14" t="str">
        <f aca="false">IF(G334="","",M333)</f>
        <v/>
      </c>
      <c r="J334" s="14" t="str">
        <f aca="false">IF(G334="","",$E$5)</f>
        <v/>
      </c>
      <c r="K334" s="14" t="str">
        <f aca="false">IF(G334="","",I334*$E$4/12)</f>
        <v/>
      </c>
      <c r="L334" s="14" t="str">
        <f aca="false">IF(G334="","",J334-K334)</f>
        <v/>
      </c>
      <c r="M334" s="14" t="str">
        <f aca="false">IF(G334="","",MAX(0,I334-L334))</f>
        <v/>
      </c>
      <c r="N334" s="14"/>
    </row>
    <row r="335" customFormat="false" ht="15" hidden="false" customHeight="false" outlineLevel="0" collapsed="false">
      <c r="G335" s="37" t="str">
        <f aca="false">IF(323&lt;=$B$6*12,323,"")</f>
        <v/>
      </c>
      <c r="H335" s="37" t="str">
        <f aca="false">IF(G335="","",ROUNDUP(G335/12,0))</f>
        <v/>
      </c>
      <c r="I335" s="14" t="str">
        <f aca="false">IF(G335="","",M334)</f>
        <v/>
      </c>
      <c r="J335" s="14" t="str">
        <f aca="false">IF(G335="","",$E$5)</f>
        <v/>
      </c>
      <c r="K335" s="14" t="str">
        <f aca="false">IF(G335="","",I335*$E$4/12)</f>
        <v/>
      </c>
      <c r="L335" s="14" t="str">
        <f aca="false">IF(G335="","",J335-K335)</f>
        <v/>
      </c>
      <c r="M335" s="14" t="str">
        <f aca="false">IF(G335="","",MAX(0,I335-L335))</f>
        <v/>
      </c>
      <c r="N335" s="14"/>
    </row>
    <row r="336" customFormat="false" ht="15" hidden="false" customHeight="false" outlineLevel="0" collapsed="false">
      <c r="G336" s="37" t="str">
        <f aca="false">IF(324&lt;=$B$6*12,324,"")</f>
        <v/>
      </c>
      <c r="H336" s="37" t="str">
        <f aca="false">IF(G336="","",ROUNDUP(G336/12,0))</f>
        <v/>
      </c>
      <c r="I336" s="14" t="str">
        <f aca="false">IF(G336="","",M335)</f>
        <v/>
      </c>
      <c r="J336" s="14" t="str">
        <f aca="false">IF(G336="","",$E$5)</f>
        <v/>
      </c>
      <c r="K336" s="14" t="str">
        <f aca="false">IF(G336="","",I336*$E$4/12)</f>
        <v/>
      </c>
      <c r="L336" s="14" t="str">
        <f aca="false">IF(G336="","",J336-K336)</f>
        <v/>
      </c>
      <c r="M336" s="14" t="str">
        <f aca="false">IF(G336="","",MAX(0,I336-L336))</f>
        <v/>
      </c>
      <c r="N336" s="14"/>
    </row>
    <row r="337" customFormat="false" ht="15" hidden="false" customHeight="false" outlineLevel="0" collapsed="false">
      <c r="G337" s="37" t="str">
        <f aca="false">IF(325&lt;=$B$6*12,325,"")</f>
        <v/>
      </c>
      <c r="H337" s="37" t="str">
        <f aca="false">IF(G337="","",ROUNDUP(G337/12,0))</f>
        <v/>
      </c>
      <c r="I337" s="14" t="str">
        <f aca="false">IF(G337="","",M336)</f>
        <v/>
      </c>
      <c r="J337" s="14" t="str">
        <f aca="false">IF(G337="","",$E$5)</f>
        <v/>
      </c>
      <c r="K337" s="14" t="str">
        <f aca="false">IF(G337="","",I337*$E$4/12)</f>
        <v/>
      </c>
      <c r="L337" s="14" t="str">
        <f aca="false">IF(G337="","",J337-K337)</f>
        <v/>
      </c>
      <c r="M337" s="14" t="str">
        <f aca="false">IF(G337="","",MAX(0,I337-L337))</f>
        <v/>
      </c>
      <c r="N337" s="14"/>
    </row>
    <row r="338" customFormat="false" ht="15" hidden="false" customHeight="false" outlineLevel="0" collapsed="false">
      <c r="G338" s="37" t="str">
        <f aca="false">IF(326&lt;=$B$6*12,326,"")</f>
        <v/>
      </c>
      <c r="H338" s="37" t="str">
        <f aca="false">IF(G338="","",ROUNDUP(G338/12,0))</f>
        <v/>
      </c>
      <c r="I338" s="14" t="str">
        <f aca="false">IF(G338="","",M337)</f>
        <v/>
      </c>
      <c r="J338" s="14" t="str">
        <f aca="false">IF(G338="","",$E$5)</f>
        <v/>
      </c>
      <c r="K338" s="14" t="str">
        <f aca="false">IF(G338="","",I338*$E$4/12)</f>
        <v/>
      </c>
      <c r="L338" s="14" t="str">
        <f aca="false">IF(G338="","",J338-K338)</f>
        <v/>
      </c>
      <c r="M338" s="14" t="str">
        <f aca="false">IF(G338="","",MAX(0,I338-L338))</f>
        <v/>
      </c>
      <c r="N338" s="14"/>
    </row>
    <row r="339" customFormat="false" ht="15" hidden="false" customHeight="false" outlineLevel="0" collapsed="false">
      <c r="G339" s="37" t="str">
        <f aca="false">IF(327&lt;=$B$6*12,327,"")</f>
        <v/>
      </c>
      <c r="H339" s="37" t="str">
        <f aca="false">IF(G339="","",ROUNDUP(G339/12,0))</f>
        <v/>
      </c>
      <c r="I339" s="14" t="str">
        <f aca="false">IF(G339="","",M338)</f>
        <v/>
      </c>
      <c r="J339" s="14" t="str">
        <f aca="false">IF(G339="","",$E$5)</f>
        <v/>
      </c>
      <c r="K339" s="14" t="str">
        <f aca="false">IF(G339="","",I339*$E$4/12)</f>
        <v/>
      </c>
      <c r="L339" s="14" t="str">
        <f aca="false">IF(G339="","",J339-K339)</f>
        <v/>
      </c>
      <c r="M339" s="14" t="str">
        <f aca="false">IF(G339="","",MAX(0,I339-L339))</f>
        <v/>
      </c>
      <c r="N339" s="14"/>
    </row>
    <row r="340" customFormat="false" ht="15" hidden="false" customHeight="false" outlineLevel="0" collapsed="false">
      <c r="G340" s="37" t="str">
        <f aca="false">IF(328&lt;=$B$6*12,328,"")</f>
        <v/>
      </c>
      <c r="H340" s="37" t="str">
        <f aca="false">IF(G340="","",ROUNDUP(G340/12,0))</f>
        <v/>
      </c>
      <c r="I340" s="14" t="str">
        <f aca="false">IF(G340="","",M339)</f>
        <v/>
      </c>
      <c r="J340" s="14" t="str">
        <f aca="false">IF(G340="","",$E$5)</f>
        <v/>
      </c>
      <c r="K340" s="14" t="str">
        <f aca="false">IF(G340="","",I340*$E$4/12)</f>
        <v/>
      </c>
      <c r="L340" s="14" t="str">
        <f aca="false">IF(G340="","",J340-K340)</f>
        <v/>
      </c>
      <c r="M340" s="14" t="str">
        <f aca="false">IF(G340="","",MAX(0,I340-L340))</f>
        <v/>
      </c>
      <c r="N340" s="14"/>
    </row>
    <row r="341" customFormat="false" ht="15" hidden="false" customHeight="false" outlineLevel="0" collapsed="false">
      <c r="G341" s="37" t="str">
        <f aca="false">IF(329&lt;=$B$6*12,329,"")</f>
        <v/>
      </c>
      <c r="H341" s="37" t="str">
        <f aca="false">IF(G341="","",ROUNDUP(G341/12,0))</f>
        <v/>
      </c>
      <c r="I341" s="14" t="str">
        <f aca="false">IF(G341="","",M340)</f>
        <v/>
      </c>
      <c r="J341" s="14" t="str">
        <f aca="false">IF(G341="","",$E$5)</f>
        <v/>
      </c>
      <c r="K341" s="14" t="str">
        <f aca="false">IF(G341="","",I341*$E$4/12)</f>
        <v/>
      </c>
      <c r="L341" s="14" t="str">
        <f aca="false">IF(G341="","",J341-K341)</f>
        <v/>
      </c>
      <c r="M341" s="14" t="str">
        <f aca="false">IF(G341="","",MAX(0,I341-L341))</f>
        <v/>
      </c>
      <c r="N341" s="14"/>
    </row>
    <row r="342" customFormat="false" ht="15" hidden="false" customHeight="false" outlineLevel="0" collapsed="false">
      <c r="G342" s="37" t="str">
        <f aca="false">IF(330&lt;=$B$6*12,330,"")</f>
        <v/>
      </c>
      <c r="H342" s="37" t="str">
        <f aca="false">IF(G342="","",ROUNDUP(G342/12,0))</f>
        <v/>
      </c>
      <c r="I342" s="14" t="str">
        <f aca="false">IF(G342="","",M341)</f>
        <v/>
      </c>
      <c r="J342" s="14" t="str">
        <f aca="false">IF(G342="","",$E$5)</f>
        <v/>
      </c>
      <c r="K342" s="14" t="str">
        <f aca="false">IF(G342="","",I342*$E$4/12)</f>
        <v/>
      </c>
      <c r="L342" s="14" t="str">
        <f aca="false">IF(G342="","",J342-K342)</f>
        <v/>
      </c>
      <c r="M342" s="14" t="str">
        <f aca="false">IF(G342="","",MAX(0,I342-L342))</f>
        <v/>
      </c>
      <c r="N342" s="14"/>
    </row>
    <row r="343" customFormat="false" ht="15" hidden="false" customHeight="false" outlineLevel="0" collapsed="false">
      <c r="G343" s="37" t="str">
        <f aca="false">IF(331&lt;=$B$6*12,331,"")</f>
        <v/>
      </c>
      <c r="H343" s="37" t="str">
        <f aca="false">IF(G343="","",ROUNDUP(G343/12,0))</f>
        <v/>
      </c>
      <c r="I343" s="14" t="str">
        <f aca="false">IF(G343="","",M342)</f>
        <v/>
      </c>
      <c r="J343" s="14" t="str">
        <f aca="false">IF(G343="","",$E$5)</f>
        <v/>
      </c>
      <c r="K343" s="14" t="str">
        <f aca="false">IF(G343="","",I343*$E$4/12)</f>
        <v/>
      </c>
      <c r="L343" s="14" t="str">
        <f aca="false">IF(G343="","",J343-K343)</f>
        <v/>
      </c>
      <c r="M343" s="14" t="str">
        <f aca="false">IF(G343="","",MAX(0,I343-L343))</f>
        <v/>
      </c>
      <c r="N343" s="14"/>
    </row>
    <row r="344" customFormat="false" ht="15" hidden="false" customHeight="false" outlineLevel="0" collapsed="false">
      <c r="G344" s="37" t="str">
        <f aca="false">IF(332&lt;=$B$6*12,332,"")</f>
        <v/>
      </c>
      <c r="H344" s="37" t="str">
        <f aca="false">IF(G344="","",ROUNDUP(G344/12,0))</f>
        <v/>
      </c>
      <c r="I344" s="14" t="str">
        <f aca="false">IF(G344="","",M343)</f>
        <v/>
      </c>
      <c r="J344" s="14" t="str">
        <f aca="false">IF(G344="","",$E$5)</f>
        <v/>
      </c>
      <c r="K344" s="14" t="str">
        <f aca="false">IF(G344="","",I344*$E$4/12)</f>
        <v/>
      </c>
      <c r="L344" s="14" t="str">
        <f aca="false">IF(G344="","",J344-K344)</f>
        <v/>
      </c>
      <c r="M344" s="14" t="str">
        <f aca="false">IF(G344="","",MAX(0,I344-L344))</f>
        <v/>
      </c>
      <c r="N344" s="14"/>
    </row>
    <row r="345" customFormat="false" ht="15" hidden="false" customHeight="false" outlineLevel="0" collapsed="false">
      <c r="G345" s="37" t="str">
        <f aca="false">IF(333&lt;=$B$6*12,333,"")</f>
        <v/>
      </c>
      <c r="H345" s="37" t="str">
        <f aca="false">IF(G345="","",ROUNDUP(G345/12,0))</f>
        <v/>
      </c>
      <c r="I345" s="14" t="str">
        <f aca="false">IF(G345="","",M344)</f>
        <v/>
      </c>
      <c r="J345" s="14" t="str">
        <f aca="false">IF(G345="","",$E$5)</f>
        <v/>
      </c>
      <c r="K345" s="14" t="str">
        <f aca="false">IF(G345="","",I345*$E$4/12)</f>
        <v/>
      </c>
      <c r="L345" s="14" t="str">
        <f aca="false">IF(G345="","",J345-K345)</f>
        <v/>
      </c>
      <c r="M345" s="14" t="str">
        <f aca="false">IF(G345="","",MAX(0,I345-L345))</f>
        <v/>
      </c>
      <c r="N345" s="14"/>
    </row>
    <row r="346" customFormat="false" ht="15" hidden="false" customHeight="false" outlineLevel="0" collapsed="false">
      <c r="G346" s="37" t="str">
        <f aca="false">IF(334&lt;=$B$6*12,334,"")</f>
        <v/>
      </c>
      <c r="H346" s="37" t="str">
        <f aca="false">IF(G346="","",ROUNDUP(G346/12,0))</f>
        <v/>
      </c>
      <c r="I346" s="14" t="str">
        <f aca="false">IF(G346="","",M345)</f>
        <v/>
      </c>
      <c r="J346" s="14" t="str">
        <f aca="false">IF(G346="","",$E$5)</f>
        <v/>
      </c>
      <c r="K346" s="14" t="str">
        <f aca="false">IF(G346="","",I346*$E$4/12)</f>
        <v/>
      </c>
      <c r="L346" s="14" t="str">
        <f aca="false">IF(G346="","",J346-K346)</f>
        <v/>
      </c>
      <c r="M346" s="14" t="str">
        <f aca="false">IF(G346="","",MAX(0,I346-L346))</f>
        <v/>
      </c>
      <c r="N346" s="14"/>
    </row>
    <row r="347" customFormat="false" ht="15" hidden="false" customHeight="false" outlineLevel="0" collapsed="false">
      <c r="G347" s="37" t="str">
        <f aca="false">IF(335&lt;=$B$6*12,335,"")</f>
        <v/>
      </c>
      <c r="H347" s="37" t="str">
        <f aca="false">IF(G347="","",ROUNDUP(G347/12,0))</f>
        <v/>
      </c>
      <c r="I347" s="14" t="str">
        <f aca="false">IF(G347="","",M346)</f>
        <v/>
      </c>
      <c r="J347" s="14" t="str">
        <f aca="false">IF(G347="","",$E$5)</f>
        <v/>
      </c>
      <c r="K347" s="14" t="str">
        <f aca="false">IF(G347="","",I347*$E$4/12)</f>
        <v/>
      </c>
      <c r="L347" s="14" t="str">
        <f aca="false">IF(G347="","",J347-K347)</f>
        <v/>
      </c>
      <c r="M347" s="14" t="str">
        <f aca="false">IF(G347="","",MAX(0,I347-L347))</f>
        <v/>
      </c>
      <c r="N347" s="14"/>
    </row>
    <row r="348" customFormat="false" ht="15" hidden="false" customHeight="false" outlineLevel="0" collapsed="false">
      <c r="G348" s="37" t="str">
        <f aca="false">IF(336&lt;=$B$6*12,336,"")</f>
        <v/>
      </c>
      <c r="H348" s="37" t="str">
        <f aca="false">IF(G348="","",ROUNDUP(G348/12,0))</f>
        <v/>
      </c>
      <c r="I348" s="14" t="str">
        <f aca="false">IF(G348="","",M347)</f>
        <v/>
      </c>
      <c r="J348" s="14" t="str">
        <f aca="false">IF(G348="","",$E$5)</f>
        <v/>
      </c>
      <c r="K348" s="14" t="str">
        <f aca="false">IF(G348="","",I348*$E$4/12)</f>
        <v/>
      </c>
      <c r="L348" s="14" t="str">
        <f aca="false">IF(G348="","",J348-K348)</f>
        <v/>
      </c>
      <c r="M348" s="14" t="str">
        <f aca="false">IF(G348="","",MAX(0,I348-L348))</f>
        <v/>
      </c>
      <c r="N348" s="14"/>
    </row>
    <row r="349" customFormat="false" ht="15" hidden="false" customHeight="false" outlineLevel="0" collapsed="false">
      <c r="G349" s="37" t="str">
        <f aca="false">IF(337&lt;=$B$6*12,337,"")</f>
        <v/>
      </c>
      <c r="H349" s="37" t="str">
        <f aca="false">IF(G349="","",ROUNDUP(G349/12,0))</f>
        <v/>
      </c>
      <c r="I349" s="14" t="str">
        <f aca="false">IF(G349="","",M348)</f>
        <v/>
      </c>
      <c r="J349" s="14" t="str">
        <f aca="false">IF(G349="","",$E$5)</f>
        <v/>
      </c>
      <c r="K349" s="14" t="str">
        <f aca="false">IF(G349="","",I349*$E$4/12)</f>
        <v/>
      </c>
      <c r="L349" s="14" t="str">
        <f aca="false">IF(G349="","",J349-K349)</f>
        <v/>
      </c>
      <c r="M349" s="14" t="str">
        <f aca="false">IF(G349="","",MAX(0,I349-L349))</f>
        <v/>
      </c>
      <c r="N349" s="14"/>
    </row>
    <row r="350" customFormat="false" ht="15" hidden="false" customHeight="false" outlineLevel="0" collapsed="false">
      <c r="G350" s="37" t="str">
        <f aca="false">IF(338&lt;=$B$6*12,338,"")</f>
        <v/>
      </c>
      <c r="H350" s="37" t="str">
        <f aca="false">IF(G350="","",ROUNDUP(G350/12,0))</f>
        <v/>
      </c>
      <c r="I350" s="14" t="str">
        <f aca="false">IF(G350="","",M349)</f>
        <v/>
      </c>
      <c r="J350" s="14" t="str">
        <f aca="false">IF(G350="","",$E$5)</f>
        <v/>
      </c>
      <c r="K350" s="14" t="str">
        <f aca="false">IF(G350="","",I350*$E$4/12)</f>
        <v/>
      </c>
      <c r="L350" s="14" t="str">
        <f aca="false">IF(G350="","",J350-K350)</f>
        <v/>
      </c>
      <c r="M350" s="14" t="str">
        <f aca="false">IF(G350="","",MAX(0,I350-L350))</f>
        <v/>
      </c>
      <c r="N350" s="14"/>
    </row>
    <row r="351" customFormat="false" ht="15" hidden="false" customHeight="false" outlineLevel="0" collapsed="false">
      <c r="G351" s="37" t="str">
        <f aca="false">IF(339&lt;=$B$6*12,339,"")</f>
        <v/>
      </c>
      <c r="H351" s="37" t="str">
        <f aca="false">IF(G351="","",ROUNDUP(G351/12,0))</f>
        <v/>
      </c>
      <c r="I351" s="14" t="str">
        <f aca="false">IF(G351="","",M350)</f>
        <v/>
      </c>
      <c r="J351" s="14" t="str">
        <f aca="false">IF(G351="","",$E$5)</f>
        <v/>
      </c>
      <c r="K351" s="14" t="str">
        <f aca="false">IF(G351="","",I351*$E$4/12)</f>
        <v/>
      </c>
      <c r="L351" s="14" t="str">
        <f aca="false">IF(G351="","",J351-K351)</f>
        <v/>
      </c>
      <c r="M351" s="14" t="str">
        <f aca="false">IF(G351="","",MAX(0,I351-L351))</f>
        <v/>
      </c>
      <c r="N351" s="14"/>
    </row>
    <row r="352" customFormat="false" ht="15" hidden="false" customHeight="false" outlineLevel="0" collapsed="false">
      <c r="G352" s="37" t="str">
        <f aca="false">IF(340&lt;=$B$6*12,340,"")</f>
        <v/>
      </c>
      <c r="H352" s="37" t="str">
        <f aca="false">IF(G352="","",ROUNDUP(G352/12,0))</f>
        <v/>
      </c>
      <c r="I352" s="14" t="str">
        <f aca="false">IF(G352="","",M351)</f>
        <v/>
      </c>
      <c r="J352" s="14" t="str">
        <f aca="false">IF(G352="","",$E$5)</f>
        <v/>
      </c>
      <c r="K352" s="14" t="str">
        <f aca="false">IF(G352="","",I352*$E$4/12)</f>
        <v/>
      </c>
      <c r="L352" s="14" t="str">
        <f aca="false">IF(G352="","",J352-K352)</f>
        <v/>
      </c>
      <c r="M352" s="14" t="str">
        <f aca="false">IF(G352="","",MAX(0,I352-L352))</f>
        <v/>
      </c>
      <c r="N352" s="14"/>
    </row>
    <row r="353" customFormat="false" ht="15" hidden="false" customHeight="false" outlineLevel="0" collapsed="false">
      <c r="G353" s="37" t="str">
        <f aca="false">IF(341&lt;=$B$6*12,341,"")</f>
        <v/>
      </c>
      <c r="H353" s="37" t="str">
        <f aca="false">IF(G353="","",ROUNDUP(G353/12,0))</f>
        <v/>
      </c>
      <c r="I353" s="14" t="str">
        <f aca="false">IF(G353="","",M352)</f>
        <v/>
      </c>
      <c r="J353" s="14" t="str">
        <f aca="false">IF(G353="","",$E$5)</f>
        <v/>
      </c>
      <c r="K353" s="14" t="str">
        <f aca="false">IF(G353="","",I353*$E$4/12)</f>
        <v/>
      </c>
      <c r="L353" s="14" t="str">
        <f aca="false">IF(G353="","",J353-K353)</f>
        <v/>
      </c>
      <c r="M353" s="14" t="str">
        <f aca="false">IF(G353="","",MAX(0,I353-L353))</f>
        <v/>
      </c>
      <c r="N353" s="14"/>
    </row>
    <row r="354" customFormat="false" ht="15" hidden="false" customHeight="false" outlineLevel="0" collapsed="false">
      <c r="G354" s="37" t="str">
        <f aca="false">IF(342&lt;=$B$6*12,342,"")</f>
        <v/>
      </c>
      <c r="H354" s="37" t="str">
        <f aca="false">IF(G354="","",ROUNDUP(G354/12,0))</f>
        <v/>
      </c>
      <c r="I354" s="14" t="str">
        <f aca="false">IF(G354="","",M353)</f>
        <v/>
      </c>
      <c r="J354" s="14" t="str">
        <f aca="false">IF(G354="","",$E$5)</f>
        <v/>
      </c>
      <c r="K354" s="14" t="str">
        <f aca="false">IF(G354="","",I354*$E$4/12)</f>
        <v/>
      </c>
      <c r="L354" s="14" t="str">
        <f aca="false">IF(G354="","",J354-K354)</f>
        <v/>
      </c>
      <c r="M354" s="14" t="str">
        <f aca="false">IF(G354="","",MAX(0,I354-L354))</f>
        <v/>
      </c>
      <c r="N354" s="14"/>
    </row>
    <row r="355" customFormat="false" ht="15" hidden="false" customHeight="false" outlineLevel="0" collapsed="false">
      <c r="G355" s="37" t="str">
        <f aca="false">IF(343&lt;=$B$6*12,343,"")</f>
        <v/>
      </c>
      <c r="H355" s="37" t="str">
        <f aca="false">IF(G355="","",ROUNDUP(G355/12,0))</f>
        <v/>
      </c>
      <c r="I355" s="14" t="str">
        <f aca="false">IF(G355="","",M354)</f>
        <v/>
      </c>
      <c r="J355" s="14" t="str">
        <f aca="false">IF(G355="","",$E$5)</f>
        <v/>
      </c>
      <c r="K355" s="14" t="str">
        <f aca="false">IF(G355="","",I355*$E$4/12)</f>
        <v/>
      </c>
      <c r="L355" s="14" t="str">
        <f aca="false">IF(G355="","",J355-K355)</f>
        <v/>
      </c>
      <c r="M355" s="14" t="str">
        <f aca="false">IF(G355="","",MAX(0,I355-L355))</f>
        <v/>
      </c>
      <c r="N355" s="14"/>
    </row>
    <row r="356" customFormat="false" ht="15" hidden="false" customHeight="false" outlineLevel="0" collapsed="false">
      <c r="G356" s="37" t="str">
        <f aca="false">IF(344&lt;=$B$6*12,344,"")</f>
        <v/>
      </c>
      <c r="H356" s="37" t="str">
        <f aca="false">IF(G356="","",ROUNDUP(G356/12,0))</f>
        <v/>
      </c>
      <c r="I356" s="14" t="str">
        <f aca="false">IF(G356="","",M355)</f>
        <v/>
      </c>
      <c r="J356" s="14" t="str">
        <f aca="false">IF(G356="","",$E$5)</f>
        <v/>
      </c>
      <c r="K356" s="14" t="str">
        <f aca="false">IF(G356="","",I356*$E$4/12)</f>
        <v/>
      </c>
      <c r="L356" s="14" t="str">
        <f aca="false">IF(G356="","",J356-K356)</f>
        <v/>
      </c>
      <c r="M356" s="14" t="str">
        <f aca="false">IF(G356="","",MAX(0,I356-L356))</f>
        <v/>
      </c>
      <c r="N356" s="14"/>
    </row>
    <row r="357" customFormat="false" ht="15" hidden="false" customHeight="false" outlineLevel="0" collapsed="false">
      <c r="G357" s="37" t="str">
        <f aca="false">IF(345&lt;=$B$6*12,345,"")</f>
        <v/>
      </c>
      <c r="H357" s="37" t="str">
        <f aca="false">IF(G357="","",ROUNDUP(G357/12,0))</f>
        <v/>
      </c>
      <c r="I357" s="14" t="str">
        <f aca="false">IF(G357="","",M356)</f>
        <v/>
      </c>
      <c r="J357" s="14" t="str">
        <f aca="false">IF(G357="","",$E$5)</f>
        <v/>
      </c>
      <c r="K357" s="14" t="str">
        <f aca="false">IF(G357="","",I357*$E$4/12)</f>
        <v/>
      </c>
      <c r="L357" s="14" t="str">
        <f aca="false">IF(G357="","",J357-K357)</f>
        <v/>
      </c>
      <c r="M357" s="14" t="str">
        <f aca="false">IF(G357="","",MAX(0,I357-L357))</f>
        <v/>
      </c>
      <c r="N357" s="14"/>
    </row>
    <row r="358" customFormat="false" ht="15" hidden="false" customHeight="false" outlineLevel="0" collapsed="false">
      <c r="G358" s="37" t="str">
        <f aca="false">IF(346&lt;=$B$6*12,346,"")</f>
        <v/>
      </c>
      <c r="H358" s="37" t="str">
        <f aca="false">IF(G358="","",ROUNDUP(G358/12,0))</f>
        <v/>
      </c>
      <c r="I358" s="14" t="str">
        <f aca="false">IF(G358="","",M357)</f>
        <v/>
      </c>
      <c r="J358" s="14" t="str">
        <f aca="false">IF(G358="","",$E$5)</f>
        <v/>
      </c>
      <c r="K358" s="14" t="str">
        <f aca="false">IF(G358="","",I358*$E$4/12)</f>
        <v/>
      </c>
      <c r="L358" s="14" t="str">
        <f aca="false">IF(G358="","",J358-K358)</f>
        <v/>
      </c>
      <c r="M358" s="14" t="str">
        <f aca="false">IF(G358="","",MAX(0,I358-L358))</f>
        <v/>
      </c>
      <c r="N358" s="14"/>
    </row>
    <row r="359" customFormat="false" ht="15" hidden="false" customHeight="false" outlineLevel="0" collapsed="false">
      <c r="G359" s="37" t="str">
        <f aca="false">IF(347&lt;=$B$6*12,347,"")</f>
        <v/>
      </c>
      <c r="H359" s="37" t="str">
        <f aca="false">IF(G359="","",ROUNDUP(G359/12,0))</f>
        <v/>
      </c>
      <c r="I359" s="14" t="str">
        <f aca="false">IF(G359="","",M358)</f>
        <v/>
      </c>
      <c r="J359" s="14" t="str">
        <f aca="false">IF(G359="","",$E$5)</f>
        <v/>
      </c>
      <c r="K359" s="14" t="str">
        <f aca="false">IF(G359="","",I359*$E$4/12)</f>
        <v/>
      </c>
      <c r="L359" s="14" t="str">
        <f aca="false">IF(G359="","",J359-K359)</f>
        <v/>
      </c>
      <c r="M359" s="14" t="str">
        <f aca="false">IF(G359="","",MAX(0,I359-L359))</f>
        <v/>
      </c>
      <c r="N359" s="14"/>
    </row>
    <row r="360" customFormat="false" ht="15" hidden="false" customHeight="false" outlineLevel="0" collapsed="false">
      <c r="G360" s="37" t="str">
        <f aca="false">IF(348&lt;=$B$6*12,348,"")</f>
        <v/>
      </c>
      <c r="H360" s="37" t="str">
        <f aca="false">IF(G360="","",ROUNDUP(G360/12,0))</f>
        <v/>
      </c>
      <c r="I360" s="14" t="str">
        <f aca="false">IF(G360="","",M359)</f>
        <v/>
      </c>
      <c r="J360" s="14" t="str">
        <f aca="false">IF(G360="","",$E$5)</f>
        <v/>
      </c>
      <c r="K360" s="14" t="str">
        <f aca="false">IF(G360="","",I360*$E$4/12)</f>
        <v/>
      </c>
      <c r="L360" s="14" t="str">
        <f aca="false">IF(G360="","",J360-K360)</f>
        <v/>
      </c>
      <c r="M360" s="14" t="str">
        <f aca="false">IF(G360="","",MAX(0,I360-L360))</f>
        <v/>
      </c>
      <c r="N360" s="14"/>
    </row>
    <row r="361" customFormat="false" ht="15" hidden="false" customHeight="false" outlineLevel="0" collapsed="false">
      <c r="G361" s="37" t="str">
        <f aca="false">IF(349&lt;=$B$6*12,349,"")</f>
        <v/>
      </c>
      <c r="H361" s="37" t="str">
        <f aca="false">IF(G361="","",ROUNDUP(G361/12,0))</f>
        <v/>
      </c>
      <c r="I361" s="14" t="str">
        <f aca="false">IF(G361="","",M360)</f>
        <v/>
      </c>
      <c r="J361" s="14" t="str">
        <f aca="false">IF(G361="","",$E$5)</f>
        <v/>
      </c>
      <c r="K361" s="14" t="str">
        <f aca="false">IF(G361="","",I361*$E$4/12)</f>
        <v/>
      </c>
      <c r="L361" s="14" t="str">
        <f aca="false">IF(G361="","",J361-K361)</f>
        <v/>
      </c>
      <c r="M361" s="14" t="str">
        <f aca="false">IF(G361="","",MAX(0,I361-L361))</f>
        <v/>
      </c>
      <c r="N361" s="14"/>
    </row>
    <row r="362" customFormat="false" ht="15" hidden="false" customHeight="false" outlineLevel="0" collapsed="false">
      <c r="G362" s="37" t="str">
        <f aca="false">IF(350&lt;=$B$6*12,350,"")</f>
        <v/>
      </c>
      <c r="H362" s="37" t="str">
        <f aca="false">IF(G362="","",ROUNDUP(G362/12,0))</f>
        <v/>
      </c>
      <c r="I362" s="14" t="str">
        <f aca="false">IF(G362="","",M361)</f>
        <v/>
      </c>
      <c r="J362" s="14" t="str">
        <f aca="false">IF(G362="","",$E$5)</f>
        <v/>
      </c>
      <c r="K362" s="14" t="str">
        <f aca="false">IF(G362="","",I362*$E$4/12)</f>
        <v/>
      </c>
      <c r="L362" s="14" t="str">
        <f aca="false">IF(G362="","",J362-K362)</f>
        <v/>
      </c>
      <c r="M362" s="14" t="str">
        <f aca="false">IF(G362="","",MAX(0,I362-L362))</f>
        <v/>
      </c>
      <c r="N362" s="14"/>
    </row>
    <row r="363" customFormat="false" ht="15" hidden="false" customHeight="false" outlineLevel="0" collapsed="false">
      <c r="G363" s="37" t="str">
        <f aca="false">IF(351&lt;=$B$6*12,351,"")</f>
        <v/>
      </c>
      <c r="H363" s="37" t="str">
        <f aca="false">IF(G363="","",ROUNDUP(G363/12,0))</f>
        <v/>
      </c>
      <c r="I363" s="14" t="str">
        <f aca="false">IF(G363="","",M362)</f>
        <v/>
      </c>
      <c r="J363" s="14" t="str">
        <f aca="false">IF(G363="","",$E$5)</f>
        <v/>
      </c>
      <c r="K363" s="14" t="str">
        <f aca="false">IF(G363="","",I363*$E$4/12)</f>
        <v/>
      </c>
      <c r="L363" s="14" t="str">
        <f aca="false">IF(G363="","",J363-K363)</f>
        <v/>
      </c>
      <c r="M363" s="14" t="str">
        <f aca="false">IF(G363="","",MAX(0,I363-L363))</f>
        <v/>
      </c>
      <c r="N363" s="14"/>
    </row>
    <row r="364" customFormat="false" ht="15" hidden="false" customHeight="false" outlineLevel="0" collapsed="false">
      <c r="G364" s="37" t="str">
        <f aca="false">IF(352&lt;=$B$6*12,352,"")</f>
        <v/>
      </c>
      <c r="H364" s="37" t="str">
        <f aca="false">IF(G364="","",ROUNDUP(G364/12,0))</f>
        <v/>
      </c>
      <c r="I364" s="14" t="str">
        <f aca="false">IF(G364="","",M363)</f>
        <v/>
      </c>
      <c r="J364" s="14" t="str">
        <f aca="false">IF(G364="","",$E$5)</f>
        <v/>
      </c>
      <c r="K364" s="14" t="str">
        <f aca="false">IF(G364="","",I364*$E$4/12)</f>
        <v/>
      </c>
      <c r="L364" s="14" t="str">
        <f aca="false">IF(G364="","",J364-K364)</f>
        <v/>
      </c>
      <c r="M364" s="14" t="str">
        <f aca="false">IF(G364="","",MAX(0,I364-L364))</f>
        <v/>
      </c>
      <c r="N364" s="14"/>
    </row>
    <row r="365" customFormat="false" ht="15" hidden="false" customHeight="false" outlineLevel="0" collapsed="false">
      <c r="G365" s="37" t="str">
        <f aca="false">IF(353&lt;=$B$6*12,353,"")</f>
        <v/>
      </c>
      <c r="H365" s="37" t="str">
        <f aca="false">IF(G365="","",ROUNDUP(G365/12,0))</f>
        <v/>
      </c>
      <c r="I365" s="14" t="str">
        <f aca="false">IF(G365="","",M364)</f>
        <v/>
      </c>
      <c r="J365" s="14" t="str">
        <f aca="false">IF(G365="","",$E$5)</f>
        <v/>
      </c>
      <c r="K365" s="14" t="str">
        <f aca="false">IF(G365="","",I365*$E$4/12)</f>
        <v/>
      </c>
      <c r="L365" s="14" t="str">
        <f aca="false">IF(G365="","",J365-K365)</f>
        <v/>
      </c>
      <c r="M365" s="14" t="str">
        <f aca="false">IF(G365="","",MAX(0,I365-L365))</f>
        <v/>
      </c>
      <c r="N365" s="14"/>
    </row>
    <row r="366" customFormat="false" ht="15" hidden="false" customHeight="false" outlineLevel="0" collapsed="false">
      <c r="G366" s="37" t="str">
        <f aca="false">IF(354&lt;=$B$6*12,354,"")</f>
        <v/>
      </c>
      <c r="H366" s="37" t="str">
        <f aca="false">IF(G366="","",ROUNDUP(G366/12,0))</f>
        <v/>
      </c>
      <c r="I366" s="14" t="str">
        <f aca="false">IF(G366="","",M365)</f>
        <v/>
      </c>
      <c r="J366" s="14" t="str">
        <f aca="false">IF(G366="","",$E$5)</f>
        <v/>
      </c>
      <c r="K366" s="14" t="str">
        <f aca="false">IF(G366="","",I366*$E$4/12)</f>
        <v/>
      </c>
      <c r="L366" s="14" t="str">
        <f aca="false">IF(G366="","",J366-K366)</f>
        <v/>
      </c>
      <c r="M366" s="14" t="str">
        <f aca="false">IF(G366="","",MAX(0,I366-L366))</f>
        <v/>
      </c>
      <c r="N366" s="14"/>
    </row>
    <row r="367" customFormat="false" ht="15" hidden="false" customHeight="false" outlineLevel="0" collapsed="false">
      <c r="G367" s="37" t="str">
        <f aca="false">IF(355&lt;=$B$6*12,355,"")</f>
        <v/>
      </c>
      <c r="H367" s="37" t="str">
        <f aca="false">IF(G367="","",ROUNDUP(G367/12,0))</f>
        <v/>
      </c>
      <c r="I367" s="14" t="str">
        <f aca="false">IF(G367="","",M366)</f>
        <v/>
      </c>
      <c r="J367" s="14" t="str">
        <f aca="false">IF(G367="","",$E$5)</f>
        <v/>
      </c>
      <c r="K367" s="14" t="str">
        <f aca="false">IF(G367="","",I367*$E$4/12)</f>
        <v/>
      </c>
      <c r="L367" s="14" t="str">
        <f aca="false">IF(G367="","",J367-K367)</f>
        <v/>
      </c>
      <c r="M367" s="14" t="str">
        <f aca="false">IF(G367="","",MAX(0,I367-L367))</f>
        <v/>
      </c>
      <c r="N367" s="14"/>
    </row>
    <row r="368" customFormat="false" ht="15" hidden="false" customHeight="false" outlineLevel="0" collapsed="false">
      <c r="G368" s="37" t="str">
        <f aca="false">IF(356&lt;=$B$6*12,356,"")</f>
        <v/>
      </c>
      <c r="H368" s="37" t="str">
        <f aca="false">IF(G368="","",ROUNDUP(G368/12,0))</f>
        <v/>
      </c>
      <c r="I368" s="14" t="str">
        <f aca="false">IF(G368="","",M367)</f>
        <v/>
      </c>
      <c r="J368" s="14" t="str">
        <f aca="false">IF(G368="","",$E$5)</f>
        <v/>
      </c>
      <c r="K368" s="14" t="str">
        <f aca="false">IF(G368="","",I368*$E$4/12)</f>
        <v/>
      </c>
      <c r="L368" s="14" t="str">
        <f aca="false">IF(G368="","",J368-K368)</f>
        <v/>
      </c>
      <c r="M368" s="14" t="str">
        <f aca="false">IF(G368="","",MAX(0,I368-L368))</f>
        <v/>
      </c>
      <c r="N368" s="14"/>
    </row>
    <row r="369" customFormat="false" ht="15" hidden="false" customHeight="false" outlineLevel="0" collapsed="false">
      <c r="G369" s="37" t="str">
        <f aca="false">IF(357&lt;=$B$6*12,357,"")</f>
        <v/>
      </c>
      <c r="H369" s="37" t="str">
        <f aca="false">IF(G369="","",ROUNDUP(G369/12,0))</f>
        <v/>
      </c>
      <c r="I369" s="14" t="str">
        <f aca="false">IF(G369="","",M368)</f>
        <v/>
      </c>
      <c r="J369" s="14" t="str">
        <f aca="false">IF(G369="","",$E$5)</f>
        <v/>
      </c>
      <c r="K369" s="14" t="str">
        <f aca="false">IF(G369="","",I369*$E$4/12)</f>
        <v/>
      </c>
      <c r="L369" s="14" t="str">
        <f aca="false">IF(G369="","",J369-K369)</f>
        <v/>
      </c>
      <c r="M369" s="14" t="str">
        <f aca="false">IF(G369="","",MAX(0,I369-L369))</f>
        <v/>
      </c>
      <c r="N369" s="14"/>
    </row>
    <row r="370" customFormat="false" ht="15" hidden="false" customHeight="false" outlineLevel="0" collapsed="false">
      <c r="G370" s="37" t="str">
        <f aca="false">IF(358&lt;=$B$6*12,358,"")</f>
        <v/>
      </c>
      <c r="H370" s="37" t="str">
        <f aca="false">IF(G370="","",ROUNDUP(G370/12,0))</f>
        <v/>
      </c>
      <c r="I370" s="14" t="str">
        <f aca="false">IF(G370="","",M369)</f>
        <v/>
      </c>
      <c r="J370" s="14" t="str">
        <f aca="false">IF(G370="","",$E$5)</f>
        <v/>
      </c>
      <c r="K370" s="14" t="str">
        <f aca="false">IF(G370="","",I370*$E$4/12)</f>
        <v/>
      </c>
      <c r="L370" s="14" t="str">
        <f aca="false">IF(G370="","",J370-K370)</f>
        <v/>
      </c>
      <c r="M370" s="14" t="str">
        <f aca="false">IF(G370="","",MAX(0,I370-L370))</f>
        <v/>
      </c>
      <c r="N370" s="14"/>
    </row>
    <row r="371" customFormat="false" ht="15" hidden="false" customHeight="false" outlineLevel="0" collapsed="false">
      <c r="G371" s="37" t="str">
        <f aca="false">IF(359&lt;=$B$6*12,359,"")</f>
        <v/>
      </c>
      <c r="H371" s="37" t="str">
        <f aca="false">IF(G371="","",ROUNDUP(G371/12,0))</f>
        <v/>
      </c>
      <c r="I371" s="14" t="str">
        <f aca="false">IF(G371="","",M370)</f>
        <v/>
      </c>
      <c r="J371" s="14" t="str">
        <f aca="false">IF(G371="","",$E$5)</f>
        <v/>
      </c>
      <c r="K371" s="14" t="str">
        <f aca="false">IF(G371="","",I371*$E$4/12)</f>
        <v/>
      </c>
      <c r="L371" s="14" t="str">
        <f aca="false">IF(G371="","",J371-K371)</f>
        <v/>
      </c>
      <c r="M371" s="14" t="str">
        <f aca="false">IF(G371="","",MAX(0,I371-L371))</f>
        <v/>
      </c>
      <c r="N371" s="14"/>
    </row>
    <row r="372" customFormat="false" ht="15" hidden="false" customHeight="false" outlineLevel="0" collapsed="false">
      <c r="G372" s="37" t="str">
        <f aca="false">IF(360&lt;=$B$6*12,360,"")</f>
        <v/>
      </c>
      <c r="H372" s="37" t="str">
        <f aca="false">IF(G372="","",ROUNDUP(G372/12,0))</f>
        <v/>
      </c>
      <c r="I372" s="14" t="str">
        <f aca="false">IF(G372="","",M371)</f>
        <v/>
      </c>
      <c r="J372" s="14" t="str">
        <f aca="false">IF(G372="","",$E$5)</f>
        <v/>
      </c>
      <c r="K372" s="14" t="str">
        <f aca="false">IF(G372="","",I372*$E$4/12)</f>
        <v/>
      </c>
      <c r="L372" s="14" t="str">
        <f aca="false">IF(G372="","",J372-K372)</f>
        <v/>
      </c>
      <c r="M372" s="14" t="str">
        <f aca="false">IF(G372="","",MAX(0,I372-L372))</f>
        <v/>
      </c>
      <c r="N372" s="14"/>
    </row>
  </sheetData>
  <dataValidations count="3">
    <dataValidation allowBlank="false" errorStyle="stop" operator="between" showDropDown="false" showErrorMessage="false" showInputMessage="false" sqref="B4" type="list">
      <formula1>Policy!$A$5:$A$9</formula1>
      <formula2>0</formula2>
    </dataValidation>
    <dataValidation allowBlank="false" errorStyle="stop" operator="between" showDropDown="false" showErrorMessage="false" showInputMessage="false" sqref="B6" type="whole">
      <formula1>1</formula1>
      <formula2>30</formula2>
    </dataValidation>
    <dataValidation allowBlank="false" errorStyle="stop" operator="between" showDropDown="false" showErrorMessage="false" showInputMessage="false" sqref="B7" type="whole">
      <formula1>300</formula1>
      <formula2>900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2026-09-30T11:21:13Z</dcterms:created>
  <dc:creator>openpyxl</dc:creator>
  <dc:description/>
  <dc:language>en-US</dc:language>
  <cp:lastModifiedBy/>
  <dcterms:modified xsi:type="dcterms:W3CDTF">2026-09-30T11:21:15Z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